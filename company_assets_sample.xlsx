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Summary" sheetId="2" state="visible" r:id="rId2"/>
    <sheet name="Endpoints" sheetId="3" state="visible" r:id="rId3"/>
    <sheet name="Servers" sheetId="4" state="visible" r:id="rId4"/>
    <sheet name="Registers" sheetId="5" state="visible" r:id="rId5"/>
  </sheets>
  <definedNames>
    <definedName name="_xlnm._FilterDatabase" localSheetId="2" hidden="1">'Endpoints'!$A$1:$S$47</definedName>
    <definedName name="_xlnm._FilterDatabase" localSheetId="3" hidden="1">'Servers'!$A$1:$S$27</definedName>
    <definedName name="_xlnm._FilterDatabase" localSheetId="4" hidden="1">'Registers'!$A$1:$I$21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b val="1"/>
      <color rgb="001F3A5F"/>
      <sz val="18"/>
    </font>
    <font>
      <i val="1"/>
      <color rgb="00667085"/>
    </font>
    <font>
      <b val="1"/>
      <color rgb="001F3A5F"/>
      <sz val="12"/>
    </font>
    <font>
      <b val="1"/>
      <color rgb="00FFFFFF"/>
    </font>
    <font>
      <b val="1"/>
    </font>
    <font>
      <color rgb="00667085"/>
      <sz val="9"/>
    </font>
    <font>
      <b val="1"/>
      <color rgb="001F3A5F"/>
      <sz val="20"/>
    </font>
    <font>
      <color rgb="0098A2B3"/>
    </font>
    <font>
      <i val="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3A5F"/>
      </patternFill>
    </fill>
    <fill>
      <patternFill patternType="solid">
        <fgColor rgb="00F2F4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5" fillId="4" borderId="0" applyAlignment="1" pivotButton="0" quotePrefix="0" xfId="0">
      <alignment horizontal="center"/>
    </xf>
    <xf numFmtId="1" fontId="16" fillId="4" borderId="0" applyAlignment="1" pivotButton="0" quotePrefix="0" xfId="0">
      <alignment horizontal="center"/>
    </xf>
    <xf numFmtId="9" fontId="16" fillId="4" borderId="0" applyAlignment="1" pivotButton="0" quotePrefix="0" xfId="0">
      <alignment horizontal="center"/>
    </xf>
    <xf numFmtId="0" fontId="12" fillId="0" borderId="0" pivotButton="0" quotePrefix="0" xfId="0"/>
    <xf numFmtId="0" fontId="13" fillId="3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4" fillId="4" borderId="2" pivotButton="0" quotePrefix="0" xfId="0"/>
    <xf numFmtId="0" fontId="14" fillId="4" borderId="2" applyAlignment="1" pivotButton="0" quotePrefix="0" xfId="0">
      <alignment horizontal="center"/>
    </xf>
    <xf numFmtId="165" fontId="17" fillId="0" borderId="2" applyAlignment="1" pivotButton="0" quotePrefix="0" xfId="0">
      <alignment horizontal="center"/>
    </xf>
    <xf numFmtId="0" fontId="18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Assets by 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'Dashboard'!$A$11:$A$13</f>
            </numRef>
          </cat>
          <val>
            <numRef>
              <f>'Dashboard'!$B$11:$B$13</f>
            </numRef>
          </val>
        </ser>
        <ser>
          <idx val="1"/>
          <order val="1"/>
          <tx>
            <strRef>
              <f>'Dashboard'!C10</f>
            </strRef>
          </tx>
          <spPr>
            <a:solidFill>
              <a:srgbClr val="2E8B8B"/>
            </a:solidFill>
            <a:ln>
              <a:prstDash val="solid"/>
            </a:ln>
          </spPr>
          <cat>
            <numRef>
              <f>'Dashboard'!$A$11:$A$13</f>
            </numRef>
          </cat>
          <val>
            <numRef>
              <f>'Dashboard'!$C$11:$C$13</f>
            </numRef>
          </val>
        </ser>
        <ser>
          <idx val="2"/>
          <order val="2"/>
          <tx>
            <strRef>
              <f>'Dashboard'!D10</f>
            </strRef>
          </tx>
          <spPr>
            <a:solidFill>
              <a:srgbClr val="D98E04"/>
            </a:solidFill>
            <a:ln>
              <a:prstDash val="solid"/>
            </a:ln>
          </spPr>
          <cat>
            <numRef>
              <f>'Dashboard'!$A$11:$A$13</f>
            </numRef>
          </cat>
          <val>
            <numRef>
              <f>'Dashboard'!$D$11:$D$13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OS share of total assets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'Dashboard'!$A$11:$A$13</f>
            </numRef>
          </cat>
          <val>
            <numRef>
              <f>'Dashboard'!$B$11:$B$13</f>
            </numRef>
          </val>
        </ser>
        <dLbls>
          <showVal val="1"/>
        </dLbls>
        <firstSliceAng val="0"/>
        <holeSize val="10"/>
      </doughnut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EDR coverage by OS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'Dashboard'!D10</f>
            </strRef>
          </tx>
          <spPr>
            <a:solidFill>
              <a:srgbClr val="2E8B8B"/>
            </a:solidFill>
            <a:ln>
              <a:prstDash val="solid"/>
            </a:ln>
          </spPr>
          <cat>
            <numRef>
              <f>'Dashboard'!$A$11:$A$13</f>
            </numRef>
          </cat>
          <val>
            <numRef>
              <f>'Dashboard'!$D$11:$D$13</f>
            </numRef>
          </val>
        </ser>
        <ser>
          <idx val="1"/>
          <order val="1"/>
          <tx>
            <strRef>
              <f>'Dashboard'!E10</f>
            </strRef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'Dashboard'!$A$11:$A$13</f>
            </numRef>
          </cat>
          <val>
            <numRef>
              <f>'Dashboard'!$E$11:$E$13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Endpoints last seen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'Dashboard'!B18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'Dashboard'!$A$19:$A$30</f>
            </numRef>
          </cat>
          <val>
            <numRef>
              <f>'Dashboard'!$B$19:$B$30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3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tabSelected="1" workbookViewId="0">
      <selection activeCell="A1" sqref="A1"/>
    </sheetView>
  </sheetViews>
  <sheetFormatPr baseColWidth="8" defaultRowHeight="15"/>
  <cols>
    <col width="26" customWidth="1" style="12" min="1" max="1"/>
    <col width="14" customWidth="1" style="12" min="2" max="2"/>
    <col width="14" customWidth="1" style="12" min="3" max="3"/>
    <col width="16" customWidth="1" style="12" min="4" max="4"/>
    <col width="14" customWidth="1" style="12" min="5" max="5"/>
    <col width="4" customWidth="1" style="12" min="6" max="6"/>
    <col width="4" customWidth="1" style="12" min="7" max="7"/>
    <col width="4" customWidth="1" style="12" min="8" max="8"/>
  </cols>
  <sheetData>
    <row r="1">
      <c r="A1" s="13" t="inlineStr">
        <is>
          <t>Asset Dashboard</t>
        </is>
      </c>
    </row>
    <row r="2">
      <c r="A2" s="14" t="inlineStr">
        <is>
          <t>Live formulas over the Endpoints and Servers sheets - add rows there and everything here updates. Windows includes Windows Server.</t>
        </is>
      </c>
    </row>
    <row r="4">
      <c r="A4" s="15" t="inlineStr">
        <is>
          <t>Total assets</t>
        </is>
      </c>
      <c r="B4" s="15" t="inlineStr">
        <is>
          <t>Active</t>
        </is>
      </c>
      <c r="C4" s="15" t="inlineStr">
        <is>
          <t>With EDR</t>
        </is>
      </c>
      <c r="D4" s="15" t="inlineStr">
        <is>
          <t>EDR coverage</t>
        </is>
      </c>
      <c r="E4" s="15" t="inlineStr">
        <is>
          <t>Without EDR</t>
        </is>
      </c>
    </row>
    <row r="5" ht="34" customHeight="1" s="12">
      <c r="A5" s="16">
        <f>B14</f>
        <v/>
      </c>
      <c r="B5" s="16">
        <f>C14</f>
        <v/>
      </c>
      <c r="C5" s="16">
        <f>D14</f>
        <v/>
      </c>
      <c r="D5" s="17">
        <f>IF(B14=0,0,D14/B14)</f>
        <v/>
      </c>
      <c r="E5" s="16">
        <f>E14</f>
        <v/>
      </c>
    </row>
    <row r="9">
      <c r="A9" s="18" t="inlineStr">
        <is>
          <t>Assets by OS (endpoints + servers)</t>
        </is>
      </c>
    </row>
    <row r="10">
      <c r="A10" s="19" t="inlineStr">
        <is>
          <t>OS</t>
        </is>
      </c>
      <c r="B10" s="19" t="inlineStr">
        <is>
          <t>Total</t>
        </is>
      </c>
      <c r="C10" s="19" t="inlineStr">
        <is>
          <t>Active</t>
        </is>
      </c>
      <c r="D10" s="19" t="inlineStr">
        <is>
          <t>EDR Installed</t>
        </is>
      </c>
      <c r="E10" s="19" t="inlineStr">
        <is>
          <t>No EDR</t>
        </is>
      </c>
    </row>
    <row r="11">
      <c r="A11" s="20" t="inlineStr">
        <is>
          <t>Windows</t>
        </is>
      </c>
      <c r="B11" s="21">
        <f>COUNTIF(Endpoints!$D:$D,"Windows")+COUNTIF(Servers!$D:$D,"Windows Server")</f>
        <v/>
      </c>
      <c r="C11" s="21">
        <f>COUNTIFS(Endpoints!$D:$D,"Windows",Endpoints!$M:$M,"Active")+COUNTIFS(Servers!$D:$D,"Windows Server",Servers!$S:$S,"Active")</f>
        <v/>
      </c>
      <c r="D11" s="21">
        <f>COUNTIFS(Endpoints!$D:$D,"Windows",Endpoints!$P:$P,"&lt;&gt;Not Installed",Endpoints!$P:$P,"&lt;&gt;")+COUNTIFS(Servers!$D:$D,"Windows Server",Servers!$Q:$Q,"&lt;&gt;Not Installed",Servers!$Q:$Q,"&lt;&gt;")</f>
        <v/>
      </c>
      <c r="E11" s="21">
        <f>B11-D11</f>
        <v/>
      </c>
    </row>
    <row r="12">
      <c r="A12" s="20" t="inlineStr">
        <is>
          <t>macOS</t>
        </is>
      </c>
      <c r="B12" s="21">
        <f>COUNTIF(Endpoints!$D:$D,"macOS")+COUNTIF(Servers!$D:$D,"macOS")</f>
        <v/>
      </c>
      <c r="C12" s="21">
        <f>COUNTIFS(Endpoints!$D:$D,"macOS",Endpoints!$M:$M,"Active")+COUNTIFS(Servers!$D:$D,"macOS",Servers!$S:$S,"Active")</f>
        <v/>
      </c>
      <c r="D12" s="21">
        <f>COUNTIFS(Endpoints!$D:$D,"macOS",Endpoints!$P:$P,"&lt;&gt;Not Installed",Endpoints!$P:$P,"&lt;&gt;")+COUNTIFS(Servers!$D:$D,"macOS",Servers!$Q:$Q,"&lt;&gt;Not Installed",Servers!$Q:$Q,"&lt;&gt;")</f>
        <v/>
      </c>
      <c r="E12" s="21">
        <f>B12-D12</f>
        <v/>
      </c>
    </row>
    <row r="13">
      <c r="A13" s="20" t="inlineStr">
        <is>
          <t>Linux</t>
        </is>
      </c>
      <c r="B13" s="21">
        <f>COUNTIF(Endpoints!$D:$D,"Linux")+COUNTIF(Servers!$D:$D,"Linux")</f>
        <v/>
      </c>
      <c r="C13" s="21">
        <f>COUNTIFS(Endpoints!$D:$D,"Linux",Endpoints!$M:$M,"Active")+COUNTIFS(Servers!$D:$D,"Linux",Servers!$S:$S,"Active")</f>
        <v/>
      </c>
      <c r="D13" s="21">
        <f>COUNTIFS(Endpoints!$D:$D,"Linux",Endpoints!$P:$P,"&lt;&gt;Not Installed",Endpoints!$P:$P,"&lt;&gt;")+COUNTIFS(Servers!$D:$D,"Linux",Servers!$Q:$Q,"&lt;&gt;Not Installed",Servers!$Q:$Q,"&lt;&gt;")</f>
        <v/>
      </c>
      <c r="E13" s="21">
        <f>B13-D13</f>
        <v/>
      </c>
    </row>
    <row r="14">
      <c r="A14" s="22" t="inlineStr">
        <is>
          <t>Total</t>
        </is>
      </c>
      <c r="B14" s="23">
        <f>SUM(B11:B13)</f>
        <v/>
      </c>
      <c r="C14" s="23">
        <f>SUM(C11:C13)</f>
        <v/>
      </c>
      <c r="D14" s="23">
        <f>SUM(D11:D13)</f>
        <v/>
      </c>
      <c r="E14" s="23">
        <f>SUM(E11:E13)</f>
        <v/>
      </c>
    </row>
    <row r="17">
      <c r="A17" s="18" t="inlineStr">
        <is>
          <t>Endpoints last seen, by month (last 12 months)</t>
        </is>
      </c>
    </row>
    <row r="18">
      <c r="A18" s="19" t="inlineStr">
        <is>
          <t>Month</t>
        </is>
      </c>
      <c r="B18" s="19" t="inlineStr">
        <is>
          <t>Endpoints</t>
        </is>
      </c>
      <c r="C18" s="19" t="inlineStr">
        <is>
          <t>Month start</t>
        </is>
      </c>
    </row>
    <row r="19">
      <c r="A19" s="21">
        <f>TEXT(C19,"mmm yyyy")</f>
        <v/>
      </c>
      <c r="B19" s="21">
        <f>COUNTIFS(Endpoints!$S:$S,"&gt;="&amp;C19,Endpoints!$S:$S,"&lt;"&amp;EDATE(C19,1))</f>
        <v/>
      </c>
      <c r="C19" s="24">
        <f>EDATE(DATE(YEAR(TODAY()),MONTH(TODAY()),1),-11)</f>
        <v/>
      </c>
    </row>
    <row r="20">
      <c r="A20" s="21">
        <f>TEXT(C20,"mmm yyyy")</f>
        <v/>
      </c>
      <c r="B20" s="21">
        <f>COUNTIFS(Endpoints!$S:$S,"&gt;="&amp;C20,Endpoints!$S:$S,"&lt;"&amp;EDATE(C20,1))</f>
        <v/>
      </c>
      <c r="C20" s="24">
        <f>EDATE(DATE(YEAR(TODAY()),MONTH(TODAY()),1),-10)</f>
        <v/>
      </c>
    </row>
    <row r="21">
      <c r="A21" s="21">
        <f>TEXT(C21,"mmm yyyy")</f>
        <v/>
      </c>
      <c r="B21" s="21">
        <f>COUNTIFS(Endpoints!$S:$S,"&gt;="&amp;C21,Endpoints!$S:$S,"&lt;"&amp;EDATE(C21,1))</f>
        <v/>
      </c>
      <c r="C21" s="24">
        <f>EDATE(DATE(YEAR(TODAY()),MONTH(TODAY()),1),-9)</f>
        <v/>
      </c>
    </row>
    <row r="22">
      <c r="A22" s="21">
        <f>TEXT(C22,"mmm yyyy")</f>
        <v/>
      </c>
      <c r="B22" s="21">
        <f>COUNTIFS(Endpoints!$S:$S,"&gt;="&amp;C22,Endpoints!$S:$S,"&lt;"&amp;EDATE(C22,1))</f>
        <v/>
      </c>
      <c r="C22" s="24">
        <f>EDATE(DATE(YEAR(TODAY()),MONTH(TODAY()),1),-8)</f>
        <v/>
      </c>
    </row>
    <row r="23">
      <c r="A23" s="21">
        <f>TEXT(C23,"mmm yyyy")</f>
        <v/>
      </c>
      <c r="B23" s="21">
        <f>COUNTIFS(Endpoints!$S:$S,"&gt;="&amp;C23,Endpoints!$S:$S,"&lt;"&amp;EDATE(C23,1))</f>
        <v/>
      </c>
      <c r="C23" s="24">
        <f>EDATE(DATE(YEAR(TODAY()),MONTH(TODAY()),1),-7)</f>
        <v/>
      </c>
    </row>
    <row r="24">
      <c r="A24" s="21">
        <f>TEXT(C24,"mmm yyyy")</f>
        <v/>
      </c>
      <c r="B24" s="21">
        <f>COUNTIFS(Endpoints!$S:$S,"&gt;="&amp;C24,Endpoints!$S:$S,"&lt;"&amp;EDATE(C24,1))</f>
        <v/>
      </c>
      <c r="C24" s="24">
        <f>EDATE(DATE(YEAR(TODAY()),MONTH(TODAY()),1),-6)</f>
        <v/>
      </c>
    </row>
    <row r="25">
      <c r="A25" s="21">
        <f>TEXT(C25,"mmm yyyy")</f>
        <v/>
      </c>
      <c r="B25" s="21">
        <f>COUNTIFS(Endpoints!$S:$S,"&gt;="&amp;C25,Endpoints!$S:$S,"&lt;"&amp;EDATE(C25,1))</f>
        <v/>
      </c>
      <c r="C25" s="24">
        <f>EDATE(DATE(YEAR(TODAY()),MONTH(TODAY()),1),-5)</f>
        <v/>
      </c>
    </row>
    <row r="26">
      <c r="A26" s="21">
        <f>TEXT(C26,"mmm yyyy")</f>
        <v/>
      </c>
      <c r="B26" s="21">
        <f>COUNTIFS(Endpoints!$S:$S,"&gt;="&amp;C26,Endpoints!$S:$S,"&lt;"&amp;EDATE(C26,1))</f>
        <v/>
      </c>
      <c r="C26" s="24">
        <f>EDATE(DATE(YEAR(TODAY()),MONTH(TODAY()),1),-4)</f>
        <v/>
      </c>
    </row>
    <row r="27">
      <c r="A27" s="21">
        <f>TEXT(C27,"mmm yyyy")</f>
        <v/>
      </c>
      <c r="B27" s="21">
        <f>COUNTIFS(Endpoints!$S:$S,"&gt;="&amp;C27,Endpoints!$S:$S,"&lt;"&amp;EDATE(C27,1))</f>
        <v/>
      </c>
      <c r="C27" s="24">
        <f>EDATE(DATE(YEAR(TODAY()),MONTH(TODAY()),1),-3)</f>
        <v/>
      </c>
    </row>
    <row r="28">
      <c r="A28" s="21">
        <f>TEXT(C28,"mmm yyyy")</f>
        <v/>
      </c>
      <c r="B28" s="21">
        <f>COUNTIFS(Endpoints!$S:$S,"&gt;="&amp;C28,Endpoints!$S:$S,"&lt;"&amp;EDATE(C28,1))</f>
        <v/>
      </c>
      <c r="C28" s="24">
        <f>EDATE(DATE(YEAR(TODAY()),MONTH(TODAY()),1),-2)</f>
        <v/>
      </c>
    </row>
    <row r="29">
      <c r="A29" s="21">
        <f>TEXT(C29,"mmm yyyy")</f>
        <v/>
      </c>
      <c r="B29" s="21">
        <f>COUNTIFS(Endpoints!$S:$S,"&gt;="&amp;C29,Endpoints!$S:$S,"&lt;"&amp;EDATE(C29,1))</f>
        <v/>
      </c>
      <c r="C29" s="24">
        <f>EDATE(DATE(YEAR(TODAY()),MONTH(TODAY()),1),-1)</f>
        <v/>
      </c>
    </row>
    <row r="30">
      <c r="A30" s="21">
        <f>TEXT(C30,"mmm yyyy")</f>
        <v/>
      </c>
      <c r="B30" s="21">
        <f>COUNTIFS(Endpoints!$S:$S,"&gt;="&amp;C30,Endpoints!$S:$S,"&lt;"&amp;EDATE(C30,1))</f>
        <v/>
      </c>
      <c r="C30" s="24">
        <f>EDATE(DATE(YEAR(TODAY()),MONTH(TODAY()),1),0)</f>
        <v/>
      </c>
    </row>
    <row r="31">
      <c r="A31" s="25" t="inlineStr">
        <is>
          <t>Older than 12 months / never seen</t>
        </is>
      </c>
      <c r="B31" s="26">
        <f>COUNTA(Endpoints!$A:$A)-1-SUM(B19:B30)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27" min="1" max="1"/>
    <col width="17" customWidth="1" style="27" min="2" max="6"/>
  </cols>
  <sheetData>
    <row r="1" ht="17.35" customHeight="1" s="12">
      <c r="A1" s="28" t="inlineStr">
        <is>
          <t>Company Asset Inventory - Summary (SAMPLE DATA)</t>
        </is>
      </c>
    </row>
    <row r="2" ht="15" customHeight="1" s="12">
      <c r="A2" s="29" t="inlineStr">
        <is>
          <t>All figures below are live formulas over the Endpoints, Servers and Registers sheets. Data is fictional.</t>
        </is>
      </c>
    </row>
    <row r="4" ht="15" customHeight="1" s="12">
      <c r="A4" s="30" t="inlineStr">
        <is>
          <t>Endpoints by OS</t>
        </is>
      </c>
    </row>
    <row r="5" ht="15" customHeight="1" s="12">
      <c r="A5" s="31" t="inlineStr">
        <is>
          <t>OS Family</t>
        </is>
      </c>
      <c r="B5" s="31" t="inlineStr">
        <is>
          <t>Total</t>
        </is>
      </c>
      <c r="C5" s="31" t="inlineStr">
        <is>
          <t>Active</t>
        </is>
      </c>
      <c r="D5" s="31" t="inlineStr">
        <is>
          <t>No EDR</t>
        </is>
      </c>
      <c r="E5" s="31" t="inlineStr">
        <is>
          <t>Not Encrypted</t>
        </is>
      </c>
    </row>
    <row r="6" ht="15" customHeight="1" s="12">
      <c r="A6" s="32" t="inlineStr">
        <is>
          <t>Windows</t>
        </is>
      </c>
      <c r="B6" s="32">
        <f>COUNTIF(Endpoints!$D:$D,A6)</f>
        <v/>
      </c>
      <c r="C6" s="32">
        <f>COUNTIFS(Endpoints!$D:$D,A6,Endpoints!$M:$M,"Active")</f>
        <v/>
      </c>
      <c r="D6" s="32">
        <f>COUNTIFS(Endpoints!$D:$D,A6,Endpoints!$P:$P,"Not Installed")</f>
        <v/>
      </c>
      <c r="E6" s="32">
        <f>COUNTIFS(Endpoints!$D:$D,A6,Endpoints!$R:$R,"No")</f>
        <v/>
      </c>
    </row>
    <row r="7" ht="15" customHeight="1" s="12">
      <c r="A7" s="32" t="inlineStr">
        <is>
          <t>macOS</t>
        </is>
      </c>
      <c r="B7" s="32">
        <f>COUNTIF(Endpoints!$D:$D,A7)</f>
        <v/>
      </c>
      <c r="C7" s="32">
        <f>COUNTIFS(Endpoints!$D:$D,A7,Endpoints!$M:$M,"Active")</f>
        <v/>
      </c>
      <c r="D7" s="32">
        <f>COUNTIFS(Endpoints!$D:$D,A7,Endpoints!$P:$P,"Not Installed")</f>
        <v/>
      </c>
      <c r="E7" s="32">
        <f>COUNTIFS(Endpoints!$D:$D,A7,Endpoints!$R:$R,"No")</f>
        <v/>
      </c>
    </row>
    <row r="8" ht="15" customHeight="1" s="12">
      <c r="A8" s="32" t="inlineStr">
        <is>
          <t>Linux</t>
        </is>
      </c>
      <c r="B8" s="32">
        <f>COUNTIF(Endpoints!$D:$D,A8)</f>
        <v/>
      </c>
      <c r="C8" s="32">
        <f>COUNTIFS(Endpoints!$D:$D,A8,Endpoints!$M:$M,"Active")</f>
        <v/>
      </c>
      <c r="D8" s="32">
        <f>COUNTIFS(Endpoints!$D:$D,A8,Endpoints!$P:$P,"Not Installed")</f>
        <v/>
      </c>
      <c r="E8" s="32">
        <f>COUNTIFS(Endpoints!$D:$D,A8,Endpoints!$R:$R,"No")</f>
        <v/>
      </c>
    </row>
    <row r="9" ht="15" customHeight="1" s="12">
      <c r="A9" s="33" t="inlineStr">
        <is>
          <t>Total</t>
        </is>
      </c>
      <c r="B9" s="33">
        <f>SUM(B6:B8)</f>
        <v/>
      </c>
      <c r="C9" s="33">
        <f>SUM(C6:C8)</f>
        <v/>
      </c>
      <c r="D9" s="33">
        <f>SUM(D6:D8)</f>
        <v/>
      </c>
      <c r="E9" s="33">
        <f>SUM(E6:E8)</f>
        <v/>
      </c>
    </row>
    <row r="11" ht="15" customHeight="1" s="12">
      <c r="A11" s="34" t="inlineStr">
        <is>
          <t>Servers by OS</t>
        </is>
      </c>
    </row>
    <row r="12" ht="15" customHeight="1" s="12">
      <c r="A12" s="31" t="inlineStr">
        <is>
          <t>OS Family</t>
        </is>
      </c>
      <c r="B12" s="31" t="inlineStr">
        <is>
          <t>Total</t>
        </is>
      </c>
      <c r="C12" s="31" t="inlineStr">
        <is>
          <t>Production</t>
        </is>
      </c>
      <c r="D12" s="31" t="inlineStr">
        <is>
          <t>Tier 0/1</t>
        </is>
      </c>
      <c r="E12" s="31" t="inlineStr">
        <is>
          <t>No EDR</t>
        </is>
      </c>
      <c r="F12" s="31" t="inlineStr">
        <is>
          <t>Not Patched</t>
        </is>
      </c>
    </row>
    <row r="13" ht="15" customHeight="1" s="12">
      <c r="A13" s="32" t="inlineStr">
        <is>
          <t>Windows Server</t>
        </is>
      </c>
      <c r="B13" s="32">
        <f>COUNTIF(Servers!$D:$D,A13)</f>
        <v/>
      </c>
      <c r="C13" s="32">
        <f>COUNTIFS(Servers!$D:$D,A13,Servers!$G:$G,"Production")</f>
        <v/>
      </c>
      <c r="D13" s="32">
        <f>COUNTIFS(Servers!$D:$D,A13,Servers!$N:$N,"Tier 0")+COUNTIFS(Servers!$D:$D,A13,Servers!$N:$N,"Tier 1")</f>
        <v/>
      </c>
      <c r="E13" s="32">
        <f>COUNTIFS(Servers!$D:$D,A13,Servers!$Q:$Q,"Not Installed")</f>
        <v/>
      </c>
      <c r="F13" s="32">
        <f>COUNTIFS(Servers!$D:$D,A13,Servers!$O:$O,"Not Patched")</f>
        <v/>
      </c>
    </row>
    <row r="14" ht="15" customHeight="1" s="12">
      <c r="A14" s="32" t="inlineStr">
        <is>
          <t>Linux</t>
        </is>
      </c>
      <c r="B14" s="32">
        <f>COUNTIF(Servers!$D:$D,A14)</f>
        <v/>
      </c>
      <c r="C14" s="32">
        <f>COUNTIFS(Servers!$D:$D,A14,Servers!$G:$G,"Production")</f>
        <v/>
      </c>
      <c r="D14" s="32">
        <f>COUNTIFS(Servers!$D:$D,A14,Servers!$N:$N,"Tier 0")+COUNTIFS(Servers!$D:$D,A14,Servers!$N:$N,"Tier 1")</f>
        <v/>
      </c>
      <c r="E14" s="32">
        <f>COUNTIFS(Servers!$D:$D,A14,Servers!$Q:$Q,"Not Installed")</f>
        <v/>
      </c>
      <c r="F14" s="32">
        <f>COUNTIFS(Servers!$D:$D,A14,Servers!$O:$O,"Not Patched")</f>
        <v/>
      </c>
    </row>
    <row r="15" ht="15" customHeight="1" s="12">
      <c r="A15" s="32" t="inlineStr">
        <is>
          <t>macOS</t>
        </is>
      </c>
      <c r="B15" s="32">
        <f>COUNTIF(Servers!$D:$D,A15)</f>
        <v/>
      </c>
      <c r="C15" s="32">
        <f>COUNTIFS(Servers!$D:$D,A15,Servers!$G:$G,"Production")</f>
        <v/>
      </c>
      <c r="D15" s="32">
        <f>COUNTIFS(Servers!$D:$D,A15,Servers!$N:$N,"Tier 0")+COUNTIFS(Servers!$D:$D,A15,Servers!$N:$N,"Tier 1")</f>
        <v/>
      </c>
      <c r="E15" s="32">
        <f>COUNTIFS(Servers!$D:$D,A15,Servers!$Q:$Q,"Not Installed")</f>
        <v/>
      </c>
      <c r="F15" s="32">
        <f>COUNTIFS(Servers!$D:$D,A15,Servers!$O:$O,"Not Patched")</f>
        <v/>
      </c>
    </row>
    <row r="16" ht="15" customHeight="1" s="12">
      <c r="A16" s="33" t="inlineStr">
        <is>
          <t>Total</t>
        </is>
      </c>
      <c r="B16" s="33">
        <f>SUM(B13:B15)</f>
        <v/>
      </c>
      <c r="C16" s="33">
        <f>SUM(C13:C15)</f>
        <v/>
      </c>
      <c r="D16" s="33">
        <f>SUM(D13:D15)</f>
        <v/>
      </c>
      <c r="E16" s="33">
        <f>SUM(E13:E15)</f>
        <v/>
      </c>
      <c r="F16" s="33">
        <f>SUM(F13:F15)</f>
        <v/>
      </c>
    </row>
    <row r="18" ht="15" customHeight="1" s="12">
      <c r="A18" s="34" t="inlineStr">
        <is>
          <t>Registers</t>
        </is>
      </c>
    </row>
    <row r="19" ht="15" customHeight="1" s="12">
      <c r="A19" s="31" t="inlineStr">
        <is>
          <t>Category</t>
        </is>
      </c>
      <c r="B19" s="31" t="inlineStr">
        <is>
          <t>Items</t>
        </is>
      </c>
      <c r="C19" s="31" t="inlineStr">
        <is>
          <t>Annual Cost (INR)</t>
        </is>
      </c>
    </row>
    <row r="20" ht="15" customHeight="1" s="12">
      <c r="A20" s="32" t="inlineStr">
        <is>
          <t>Software License</t>
        </is>
      </c>
      <c r="B20" s="32">
        <f>COUNTIF(Registers!$B:$B,A20)</f>
        <v/>
      </c>
      <c r="C20" s="35">
        <f>SUMIF(Registers!$B:$B,A20,Registers!$G:$G)</f>
        <v/>
      </c>
    </row>
    <row r="21" ht="15" customHeight="1" s="12">
      <c r="A21" s="32" t="inlineStr">
        <is>
          <t>Network Device</t>
        </is>
      </c>
      <c r="B21" s="32">
        <f>COUNTIF(Registers!$B:$B,A21)</f>
        <v/>
      </c>
      <c r="C21" s="35">
        <f>SUMIF(Registers!$B:$B,A21,Registers!$G:$G)</f>
        <v/>
      </c>
    </row>
    <row r="22" ht="15" customHeight="1" s="12">
      <c r="A22" s="32" t="inlineStr">
        <is>
          <t>Cloud Account</t>
        </is>
      </c>
      <c r="B22" s="32">
        <f>COUNTIF(Registers!$B:$B,A22)</f>
        <v/>
      </c>
      <c r="C22" s="35">
        <f>SUMIF(Registers!$B:$B,A22,Registers!$G:$G)</f>
        <v/>
      </c>
    </row>
    <row r="23" ht="15" customHeight="1" s="12">
      <c r="A23" s="32" t="inlineStr">
        <is>
          <t>Mobile Device</t>
        </is>
      </c>
      <c r="B23" s="32">
        <f>COUNTIF(Registers!$B:$B,A23)</f>
        <v/>
      </c>
      <c r="C23" s="35">
        <f>SUMIF(Registers!$B:$B,A23,Registers!$G:$G)</f>
        <v/>
      </c>
    </row>
    <row r="24" ht="15" customHeight="1" s="12">
      <c r="A24" s="32" t="inlineStr">
        <is>
          <t>Domain / Certificate</t>
        </is>
      </c>
      <c r="B24" s="32">
        <f>COUNTIF(Registers!$B:$B,A24)</f>
        <v/>
      </c>
      <c r="C24" s="35">
        <f>SUMIF(Registers!$B:$B,A24,Registers!$G:$G)</f>
        <v/>
      </c>
    </row>
    <row r="25" ht="15" customHeight="1" s="12">
      <c r="A25" s="33" t="inlineStr">
        <is>
          <t>Total</t>
        </is>
      </c>
      <c r="B25" s="33">
        <f>SUM(B20:B24)</f>
        <v/>
      </c>
      <c r="C25" s="36">
        <f>SUM(C20:C24)</f>
        <v/>
      </c>
    </row>
    <row r="27" ht="15" customHeight="1" s="12">
      <c r="A27" s="33" t="inlineStr">
        <is>
          <t>Grand total assets (endpoints + servers)</t>
        </is>
      </c>
      <c r="B27" s="32">
        <f>B9+B16</f>
        <v/>
      </c>
    </row>
    <row r="28" ht="15" customHeight="1" s="12">
      <c r="A28" s="33" t="inlineStr">
        <is>
          <t>Endpoints not seen in 30+ days</t>
        </is>
      </c>
      <c r="B28" s="32">
        <f>COUNTIF(Endpoints!$S:$S,"&lt;"&amp;(DATE(2026,10,13)-30))</f>
        <v/>
      </c>
    </row>
    <row r="29" ht="15" customHeight="1" s="12">
      <c r="A29" s="33" t="inlineStr">
        <is>
          <t>Report date (assumption: fixed sample date)</t>
        </is>
      </c>
      <c r="B29" s="37" t="n">
        <v>46308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7" min="1" max="1"/>
    <col width="14" customWidth="1" style="27" min="2" max="2"/>
    <col width="10" customWidth="1" style="27" min="3" max="3"/>
    <col width="11" customWidth="1" style="27" min="4" max="4"/>
    <col width="20" customWidth="1" style="27" min="5" max="5"/>
    <col width="26" customWidth="1" style="27" min="6" max="6"/>
    <col width="15" customWidth="1" style="27" min="7" max="8"/>
    <col width="19" customWidth="1" style="27" min="9" max="9"/>
    <col width="15" customWidth="1" style="27" min="10" max="10"/>
    <col width="13" customWidth="1" style="27" min="11" max="11"/>
    <col width="15" customWidth="1" style="27" min="12" max="12"/>
    <col width="10" customWidth="1" style="27" min="13" max="13"/>
    <col width="13" customWidth="1" style="27" min="14" max="15"/>
    <col width="20" customWidth="1" style="27" min="16" max="16"/>
    <col width="12" customWidth="1" style="27" min="17" max="17"/>
    <col width="11" customWidth="1" style="27" min="18" max="18"/>
    <col width="12" customWidth="1" style="27" min="19" max="19"/>
  </cols>
  <sheetData>
    <row r="1" ht="35.05" customHeight="1" s="12">
      <c r="A1" s="38" t="inlineStr">
        <is>
          <t>Asset ID</t>
        </is>
      </c>
      <c r="B1" s="38" t="inlineStr">
        <is>
          <t>Hostname</t>
        </is>
      </c>
      <c r="C1" s="38" t="inlineStr">
        <is>
          <t>Type</t>
        </is>
      </c>
      <c r="D1" s="38" t="inlineStr">
        <is>
          <t>OS Family</t>
        </is>
      </c>
      <c r="E1" s="38" t="inlineStr">
        <is>
          <t>OS Version</t>
        </is>
      </c>
      <c r="F1" s="38" t="inlineStr">
        <is>
          <t>Model</t>
        </is>
      </c>
      <c r="G1" s="38" t="inlineStr">
        <is>
          <t>Serial Number</t>
        </is>
      </c>
      <c r="H1" s="38" t="inlineStr">
        <is>
          <t>IP Address</t>
        </is>
      </c>
      <c r="I1" s="38" t="inlineStr">
        <is>
          <t>MAC Address</t>
        </is>
      </c>
      <c r="J1" s="38" t="inlineStr">
        <is>
          <t>Owner</t>
        </is>
      </c>
      <c r="K1" s="38" t="inlineStr">
        <is>
          <t>Department</t>
        </is>
      </c>
      <c r="L1" s="38" t="inlineStr">
        <is>
          <t>Location</t>
        </is>
      </c>
      <c r="M1" s="38" t="inlineStr">
        <is>
          <t>Status</t>
        </is>
      </c>
      <c r="N1" s="38" t="inlineStr">
        <is>
          <t>Purchase Date</t>
        </is>
      </c>
      <c r="O1" s="38" t="inlineStr">
        <is>
          <t>Warranty End</t>
        </is>
      </c>
      <c r="P1" s="38" t="inlineStr">
        <is>
          <t>EDR Agent</t>
        </is>
      </c>
      <c r="Q1" s="38" t="inlineStr">
        <is>
          <t>MDM / Mgmt</t>
        </is>
      </c>
      <c r="R1" s="38" t="inlineStr">
        <is>
          <t>Disk Encrypted</t>
        </is>
      </c>
      <c r="S1" s="38" t="inlineStr">
        <is>
          <t>Last Seen</t>
        </is>
      </c>
    </row>
    <row r="2" ht="15" customHeight="1" s="12">
      <c r="A2" s="32" t="inlineStr">
        <is>
          <t>AST-0001</t>
        </is>
      </c>
      <c r="B2" s="32" t="inlineStr">
        <is>
          <t>WIN-1409</t>
        </is>
      </c>
      <c r="C2" s="32" t="inlineStr">
        <is>
          <t>Laptop</t>
        </is>
      </c>
      <c r="D2" s="32" t="inlineStr">
        <is>
          <t>Windows</t>
        </is>
      </c>
      <c r="E2" s="32" t="inlineStr">
        <is>
          <t>Windows 10 22H2</t>
        </is>
      </c>
      <c r="F2" s="32" t="inlineStr">
        <is>
          <t>HP EliteBook 840 G10</t>
        </is>
      </c>
      <c r="G2" s="32" t="inlineStr">
        <is>
          <t>SN42868828</t>
        </is>
      </c>
      <c r="H2" s="32" t="inlineStr">
        <is>
          <t>10.24.35.190</t>
        </is>
      </c>
      <c r="I2" s="32" t="inlineStr">
        <is>
          <t>A5:F4:21:85:AB:64</t>
        </is>
      </c>
      <c r="J2" s="32" t="inlineStr">
        <is>
          <t>Aarav Mehta</t>
        </is>
      </c>
      <c r="K2" s="32" t="inlineStr">
        <is>
          <t>Engineering</t>
        </is>
      </c>
      <c r="L2" s="32" t="inlineStr">
        <is>
          <t>Bengaluru HQ</t>
        </is>
      </c>
      <c r="M2" s="32" t="inlineStr">
        <is>
          <t>Active</t>
        </is>
      </c>
      <c r="N2" s="37" t="n">
        <v>44939</v>
      </c>
      <c r="O2" s="37" t="n">
        <v>46034</v>
      </c>
      <c r="P2" s="32" t="inlineStr">
        <is>
          <t>CrowdStrike Falcon</t>
        </is>
      </c>
      <c r="Q2" s="32" t="inlineStr">
        <is>
          <t>Intune</t>
        </is>
      </c>
      <c r="R2" s="32" t="inlineStr">
        <is>
          <t>Yes</t>
        </is>
      </c>
      <c r="S2" s="37" t="n">
        <v>46308</v>
      </c>
    </row>
    <row r="3" ht="15" customHeight="1" s="12">
      <c r="A3" s="32" t="inlineStr">
        <is>
          <t>AST-0002</t>
        </is>
      </c>
      <c r="B3" s="32" t="inlineStr">
        <is>
          <t>WIN-4257</t>
        </is>
      </c>
      <c r="C3" s="32" t="inlineStr">
        <is>
          <t>Laptop</t>
        </is>
      </c>
      <c r="D3" s="32" t="inlineStr">
        <is>
          <t>Windows</t>
        </is>
      </c>
      <c r="E3" s="32" t="inlineStr">
        <is>
          <t>Windows 10 22H2</t>
        </is>
      </c>
      <c r="F3" s="32" t="inlineStr">
        <is>
          <t>Lenovo ThinkPad T14</t>
        </is>
      </c>
      <c r="G3" s="32" t="inlineStr">
        <is>
          <t>SN83140807</t>
        </is>
      </c>
      <c r="H3" s="32" t="inlineStr">
        <is>
          <t>10.36.56.116</t>
        </is>
      </c>
      <c r="I3" s="32" t="inlineStr">
        <is>
          <t>E2:01:99:64:AB:53</t>
        </is>
      </c>
      <c r="J3" s="32" t="inlineStr">
        <is>
          <t>Vikram Rao</t>
        </is>
      </c>
      <c r="K3" s="32" t="inlineStr">
        <is>
          <t>HR</t>
        </is>
      </c>
      <c r="L3" s="32" t="inlineStr">
        <is>
          <t>Mumbai</t>
        </is>
      </c>
      <c r="M3" s="32" t="inlineStr">
        <is>
          <t>Active</t>
        </is>
      </c>
      <c r="N3" s="37" t="n">
        <v>45016</v>
      </c>
      <c r="O3" s="37" t="n">
        <v>46111</v>
      </c>
      <c r="P3" s="32" t="inlineStr">
        <is>
          <t>CrowdStrike Falcon</t>
        </is>
      </c>
      <c r="Q3" s="32" t="inlineStr">
        <is>
          <t>Intune</t>
        </is>
      </c>
      <c r="R3" s="32" t="inlineStr">
        <is>
          <t>Yes</t>
        </is>
      </c>
      <c r="S3" s="37" t="n">
        <v>46308</v>
      </c>
    </row>
    <row r="4" ht="15" customHeight="1" s="12">
      <c r="A4" s="32" t="inlineStr">
        <is>
          <t>AST-0003</t>
        </is>
      </c>
      <c r="B4" s="32" t="inlineStr">
        <is>
          <t>WIN-6881</t>
        </is>
      </c>
      <c r="C4" s="32" t="inlineStr">
        <is>
          <t>Laptop</t>
        </is>
      </c>
      <c r="D4" s="32" t="inlineStr">
        <is>
          <t>Windows</t>
        </is>
      </c>
      <c r="E4" s="32" t="inlineStr">
        <is>
          <t>Windows 11 24H2</t>
        </is>
      </c>
      <c r="F4" s="32" t="inlineStr">
        <is>
          <t>Lenovo ThinkPad T14</t>
        </is>
      </c>
      <c r="G4" s="32" t="inlineStr">
        <is>
          <t>SN45503389</t>
        </is>
      </c>
      <c r="H4" s="32" t="inlineStr">
        <is>
          <t>10.12.186.119</t>
        </is>
      </c>
      <c r="I4" s="32" t="inlineStr">
        <is>
          <t>4A:3A:80:47:AB:90</t>
        </is>
      </c>
      <c r="J4" s="32" t="inlineStr">
        <is>
          <t>Divya Menon</t>
        </is>
      </c>
      <c r="K4" s="32" t="inlineStr">
        <is>
          <t>Security</t>
        </is>
      </c>
      <c r="L4" s="32" t="inlineStr">
        <is>
          <t>Pune</t>
        </is>
      </c>
      <c r="M4" s="32" t="inlineStr">
        <is>
          <t>Active</t>
        </is>
      </c>
      <c r="N4" s="37" t="n">
        <v>45470</v>
      </c>
      <c r="O4" s="37" t="n">
        <v>46565</v>
      </c>
      <c r="P4" s="32" t="inlineStr">
        <is>
          <t>CrowdStrike Falcon</t>
        </is>
      </c>
      <c r="Q4" s="32" t="inlineStr">
        <is>
          <t>Intune</t>
        </is>
      </c>
      <c r="R4" s="32" t="inlineStr">
        <is>
          <t>Yes</t>
        </is>
      </c>
      <c r="S4" s="37" t="n">
        <v>46308</v>
      </c>
    </row>
    <row r="5" ht="15" customHeight="1" s="12">
      <c r="A5" s="32" t="inlineStr">
        <is>
          <t>AST-0004</t>
        </is>
      </c>
      <c r="B5" s="32" t="inlineStr">
        <is>
          <t>WIN-5741</t>
        </is>
      </c>
      <c r="C5" s="32" t="inlineStr">
        <is>
          <t>Laptop</t>
        </is>
      </c>
      <c r="D5" s="32" t="inlineStr">
        <is>
          <t>Windows</t>
        </is>
      </c>
      <c r="E5" s="32" t="inlineStr">
        <is>
          <t>Windows 11 23H2</t>
        </is>
      </c>
      <c r="F5" s="32" t="inlineStr">
        <is>
          <t>Dell Latitude 5440</t>
        </is>
      </c>
      <c r="G5" s="32" t="inlineStr">
        <is>
          <t>SN23556182</t>
        </is>
      </c>
      <c r="H5" s="32" t="inlineStr">
        <is>
          <t>10.34.71.118</t>
        </is>
      </c>
      <c r="I5" s="32" t="inlineStr">
        <is>
          <t>5C:1C:55:36:AB:95</t>
        </is>
      </c>
      <c r="J5" s="32" t="inlineStr">
        <is>
          <t>Vikram Rao</t>
        </is>
      </c>
      <c r="K5" s="32" t="inlineStr">
        <is>
          <t>Finance</t>
        </is>
      </c>
      <c r="L5" s="32" t="inlineStr">
        <is>
          <t>Pune</t>
        </is>
      </c>
      <c r="M5" s="32" t="inlineStr">
        <is>
          <t>Active</t>
        </is>
      </c>
      <c r="N5" s="37" t="n">
        <v>44894</v>
      </c>
      <c r="O5" s="37" t="n">
        <v>45989</v>
      </c>
      <c r="P5" s="32" t="inlineStr">
        <is>
          <t>CrowdStrike Falcon</t>
        </is>
      </c>
      <c r="Q5" s="32" t="inlineStr">
        <is>
          <t>Intune</t>
        </is>
      </c>
      <c r="R5" s="32" t="inlineStr">
        <is>
          <t>Yes</t>
        </is>
      </c>
      <c r="S5" s="37" t="n">
        <v>46307</v>
      </c>
    </row>
    <row r="6" ht="15" customHeight="1" s="12">
      <c r="A6" s="32" t="inlineStr">
        <is>
          <t>AST-0005</t>
        </is>
      </c>
      <c r="B6" s="32" t="inlineStr">
        <is>
          <t>WIN-7216</t>
        </is>
      </c>
      <c r="C6" s="32" t="inlineStr">
        <is>
          <t>Laptop</t>
        </is>
      </c>
      <c r="D6" s="32" t="inlineStr">
        <is>
          <t>Windows</t>
        </is>
      </c>
      <c r="E6" s="32" t="inlineStr">
        <is>
          <t>Windows 11 24H2</t>
        </is>
      </c>
      <c r="F6" s="32" t="inlineStr">
        <is>
          <t>Lenovo ThinkPad T14</t>
        </is>
      </c>
      <c r="G6" s="32" t="inlineStr">
        <is>
          <t>SN84752529</t>
        </is>
      </c>
      <c r="H6" s="32" t="inlineStr">
        <is>
          <t>10.24.175.85</t>
        </is>
      </c>
      <c r="I6" s="32" t="inlineStr">
        <is>
          <t>0B:0C:61:44:AB:18</t>
        </is>
      </c>
      <c r="J6" s="32" t="inlineStr">
        <is>
          <t>Sneha Iyer</t>
        </is>
      </c>
      <c r="K6" s="32" t="inlineStr">
        <is>
          <t>Security</t>
        </is>
      </c>
      <c r="L6" s="32" t="inlineStr">
        <is>
          <t>Mumbai</t>
        </is>
      </c>
      <c r="M6" s="32" t="inlineStr">
        <is>
          <t>Active</t>
        </is>
      </c>
      <c r="N6" s="37" t="n">
        <v>45914</v>
      </c>
      <c r="O6" s="37" t="n">
        <v>47009</v>
      </c>
      <c r="P6" s="32" t="inlineStr">
        <is>
          <t>CrowdStrike Falcon</t>
        </is>
      </c>
      <c r="Q6" s="32" t="inlineStr">
        <is>
          <t>Intune</t>
        </is>
      </c>
      <c r="R6" s="32" t="inlineStr">
        <is>
          <t>Yes</t>
        </is>
      </c>
      <c r="S6" s="37" t="n">
        <v>46303</v>
      </c>
    </row>
    <row r="7" ht="15" customHeight="1" s="12">
      <c r="A7" s="32" t="inlineStr">
        <is>
          <t>AST-0006</t>
        </is>
      </c>
      <c r="B7" s="32" t="inlineStr">
        <is>
          <t>WIN-3287</t>
        </is>
      </c>
      <c r="C7" s="32" t="inlineStr">
        <is>
          <t>Laptop</t>
        </is>
      </c>
      <c r="D7" s="32" t="inlineStr">
        <is>
          <t>Windows</t>
        </is>
      </c>
      <c r="E7" s="32" t="inlineStr">
        <is>
          <t>Windows 11 23H2</t>
        </is>
      </c>
      <c r="F7" s="32" t="inlineStr">
        <is>
          <t>Lenovo ThinkPad T14</t>
        </is>
      </c>
      <c r="G7" s="32" t="inlineStr">
        <is>
          <t>SN85345555</t>
        </is>
      </c>
      <c r="H7" s="32" t="inlineStr">
        <is>
          <t>10.44.67.193</t>
        </is>
      </c>
      <c r="I7" s="32" t="inlineStr">
        <is>
          <t>E3:E3:56:38:AB:27</t>
        </is>
      </c>
      <c r="J7" s="32" t="inlineStr">
        <is>
          <t>Imran Khan</t>
        </is>
      </c>
      <c r="K7" s="32" t="inlineStr">
        <is>
          <t>Legal</t>
        </is>
      </c>
      <c r="L7" s="32" t="inlineStr">
        <is>
          <t>Bengaluru HQ</t>
        </is>
      </c>
      <c r="M7" s="32" t="inlineStr">
        <is>
          <t>Active</t>
        </is>
      </c>
      <c r="N7" s="37" t="n">
        <v>45956</v>
      </c>
      <c r="O7" s="37" t="n">
        <v>47051</v>
      </c>
      <c r="P7" s="32" t="inlineStr">
        <is>
          <t>CrowdStrike Falcon</t>
        </is>
      </c>
      <c r="Q7" s="32" t="inlineStr">
        <is>
          <t>Intune</t>
        </is>
      </c>
      <c r="R7" s="32" t="inlineStr">
        <is>
          <t>Yes</t>
        </is>
      </c>
      <c r="S7" s="37" t="n">
        <v>46307</v>
      </c>
    </row>
    <row r="8" ht="15" customHeight="1" s="12">
      <c r="A8" s="32" t="inlineStr">
        <is>
          <t>AST-0007</t>
        </is>
      </c>
      <c r="B8" s="32" t="inlineStr">
        <is>
          <t>WIN-7916</t>
        </is>
      </c>
      <c r="C8" s="32" t="inlineStr">
        <is>
          <t>Laptop</t>
        </is>
      </c>
      <c r="D8" s="32" t="inlineStr">
        <is>
          <t>Windows</t>
        </is>
      </c>
      <c r="E8" s="32" t="inlineStr">
        <is>
          <t>Windows 10 22H2</t>
        </is>
      </c>
      <c r="F8" s="32" t="inlineStr">
        <is>
          <t>Dell Latitude 5440</t>
        </is>
      </c>
      <c r="G8" s="32" t="inlineStr">
        <is>
          <t>SN61642594</t>
        </is>
      </c>
      <c r="H8" s="32" t="inlineStr">
        <is>
          <t>10.34.152.121</t>
        </is>
      </c>
      <c r="I8" s="32" t="inlineStr">
        <is>
          <t>42:40:97:24:AB:97</t>
        </is>
      </c>
      <c r="J8" s="32" t="inlineStr">
        <is>
          <t>Imran Khan</t>
        </is>
      </c>
      <c r="K8" s="32" t="inlineStr">
        <is>
          <t>IT Ops</t>
        </is>
      </c>
      <c r="L8" s="32" t="inlineStr">
        <is>
          <t>Remote</t>
        </is>
      </c>
      <c r="M8" s="32" t="inlineStr">
        <is>
          <t>Active</t>
        </is>
      </c>
      <c r="N8" s="37" t="n">
        <v>44963</v>
      </c>
      <c r="O8" s="37" t="n">
        <v>46058</v>
      </c>
      <c r="P8" s="32" t="inlineStr">
        <is>
          <t>CrowdStrike Falcon</t>
        </is>
      </c>
      <c r="Q8" s="32" t="inlineStr">
        <is>
          <t>Intune</t>
        </is>
      </c>
      <c r="R8" s="32" t="inlineStr">
        <is>
          <t>Yes</t>
        </is>
      </c>
      <c r="S8" s="37" t="n">
        <v>46308</v>
      </c>
    </row>
    <row r="9" ht="15" customHeight="1" s="12">
      <c r="A9" s="32" t="inlineStr">
        <is>
          <t>AST-0008</t>
        </is>
      </c>
      <c r="B9" s="32" t="inlineStr">
        <is>
          <t>WIN-8433</t>
        </is>
      </c>
      <c r="C9" s="32" t="inlineStr">
        <is>
          <t>Laptop</t>
        </is>
      </c>
      <c r="D9" s="32" t="inlineStr">
        <is>
          <t>Windows</t>
        </is>
      </c>
      <c r="E9" s="32" t="inlineStr">
        <is>
          <t>Windows 11 23H2</t>
        </is>
      </c>
      <c r="F9" s="32" t="inlineStr">
        <is>
          <t>Lenovo ThinkPad T14</t>
        </is>
      </c>
      <c r="G9" s="32" t="inlineStr">
        <is>
          <t>SN45351479</t>
        </is>
      </c>
      <c r="H9" s="32" t="inlineStr">
        <is>
          <t>10.42.195.47</t>
        </is>
      </c>
      <c r="I9" s="32" t="inlineStr">
        <is>
          <t>4A:52:91:74:AB:87</t>
        </is>
      </c>
      <c r="J9" s="32" t="inlineStr">
        <is>
          <t>Sneha Iyer</t>
        </is>
      </c>
      <c r="K9" s="32" t="inlineStr">
        <is>
          <t>HR</t>
        </is>
      </c>
      <c r="L9" s="32" t="inlineStr">
        <is>
          <t>Delhi NCR</t>
        </is>
      </c>
      <c r="M9" s="32" t="inlineStr">
        <is>
          <t>Active</t>
        </is>
      </c>
      <c r="N9" s="37" t="n">
        <v>45358</v>
      </c>
      <c r="O9" s="37" t="n">
        <v>46453</v>
      </c>
      <c r="P9" s="32" t="inlineStr">
        <is>
          <t>CrowdStrike Falcon</t>
        </is>
      </c>
      <c r="Q9" s="32" t="inlineStr">
        <is>
          <t>Intune</t>
        </is>
      </c>
      <c r="R9" s="32" t="inlineStr">
        <is>
          <t>Yes</t>
        </is>
      </c>
      <c r="S9" s="37" t="n">
        <v>46308</v>
      </c>
    </row>
    <row r="10" ht="15" customHeight="1" s="12">
      <c r="A10" s="32" t="inlineStr">
        <is>
          <t>AST-0009</t>
        </is>
      </c>
      <c r="B10" s="32" t="inlineStr">
        <is>
          <t>WIN-6310</t>
        </is>
      </c>
      <c r="C10" s="32" t="inlineStr">
        <is>
          <t>Laptop</t>
        </is>
      </c>
      <c r="D10" s="32" t="inlineStr">
        <is>
          <t>Windows</t>
        </is>
      </c>
      <c r="E10" s="32" t="inlineStr">
        <is>
          <t>Windows 11 24H2</t>
        </is>
      </c>
      <c r="F10" s="32" t="inlineStr">
        <is>
          <t>Dell Latitude 5440</t>
        </is>
      </c>
      <c r="G10" s="32" t="inlineStr">
        <is>
          <t>SN25014631</t>
        </is>
      </c>
      <c r="H10" s="32" t="inlineStr">
        <is>
          <t>10.33.224.254</t>
        </is>
      </c>
      <c r="I10" s="32" t="inlineStr">
        <is>
          <t>2B:0B:82:20:AB:20</t>
        </is>
      </c>
      <c r="J10" s="32" t="inlineStr">
        <is>
          <t>Meera Pillai</t>
        </is>
      </c>
      <c r="K10" s="32" t="inlineStr">
        <is>
          <t>Finance</t>
        </is>
      </c>
      <c r="L10" s="32" t="inlineStr">
        <is>
          <t>Pune</t>
        </is>
      </c>
      <c r="M10" s="32" t="inlineStr">
        <is>
          <t>Active</t>
        </is>
      </c>
      <c r="N10" s="37" t="n">
        <v>46247</v>
      </c>
      <c r="O10" s="37" t="n">
        <v>47342</v>
      </c>
      <c r="P10" s="32" t="inlineStr">
        <is>
          <t>CrowdStrike Falcon</t>
        </is>
      </c>
      <c r="Q10" s="32" t="inlineStr">
        <is>
          <t>Intune</t>
        </is>
      </c>
      <c r="R10" s="32" t="inlineStr">
        <is>
          <t>Yes</t>
        </is>
      </c>
      <c r="S10" s="37" t="n">
        <v>46293</v>
      </c>
    </row>
    <row r="11" ht="15" customHeight="1" s="12">
      <c r="A11" s="32" t="inlineStr">
        <is>
          <t>AST-0010</t>
        </is>
      </c>
      <c r="B11" s="32" t="inlineStr">
        <is>
          <t>WIN-5342</t>
        </is>
      </c>
      <c r="C11" s="32" t="inlineStr">
        <is>
          <t>Laptop</t>
        </is>
      </c>
      <c r="D11" s="32" t="inlineStr">
        <is>
          <t>Windows</t>
        </is>
      </c>
      <c r="E11" s="32" t="inlineStr">
        <is>
          <t>Windows 10 22H2</t>
        </is>
      </c>
      <c r="F11" s="32" t="inlineStr">
        <is>
          <t>Lenovo ThinkPad T14</t>
        </is>
      </c>
      <c r="G11" s="32" t="inlineStr">
        <is>
          <t>SN66792612</t>
        </is>
      </c>
      <c r="H11" s="32" t="inlineStr">
        <is>
          <t>10.23.237.140</t>
        </is>
      </c>
      <c r="I11" s="32" t="inlineStr">
        <is>
          <t>FF:BF:49:61:AB:95</t>
        </is>
      </c>
      <c r="J11" s="32" t="inlineStr">
        <is>
          <t>Anita Das</t>
        </is>
      </c>
      <c r="K11" s="32" t="inlineStr">
        <is>
          <t>Legal</t>
        </is>
      </c>
      <c r="L11" s="32" t="inlineStr">
        <is>
          <t>Pune</t>
        </is>
      </c>
      <c r="M11" s="32" t="inlineStr">
        <is>
          <t>Active</t>
        </is>
      </c>
      <c r="N11" s="37" t="n">
        <v>45123</v>
      </c>
      <c r="O11" s="37" t="n">
        <v>46218</v>
      </c>
      <c r="P11" s="32" t="inlineStr">
        <is>
          <t>CrowdStrike Falcon</t>
        </is>
      </c>
      <c r="Q11" s="32" t="inlineStr">
        <is>
          <t>Intune</t>
        </is>
      </c>
      <c r="R11" s="32" t="inlineStr">
        <is>
          <t>Yes</t>
        </is>
      </c>
      <c r="S11" s="37" t="n">
        <v>46308</v>
      </c>
    </row>
    <row r="12" ht="15" customHeight="1" s="12">
      <c r="A12" s="32" t="inlineStr">
        <is>
          <t>AST-0011</t>
        </is>
      </c>
      <c r="B12" s="32" t="inlineStr">
        <is>
          <t>WIN-6539</t>
        </is>
      </c>
      <c r="C12" s="32" t="inlineStr">
        <is>
          <t>Laptop</t>
        </is>
      </c>
      <c r="D12" s="32" t="inlineStr">
        <is>
          <t>Windows</t>
        </is>
      </c>
      <c r="E12" s="32" t="inlineStr">
        <is>
          <t>Windows 11 23H2</t>
        </is>
      </c>
      <c r="F12" s="32" t="inlineStr">
        <is>
          <t>Lenovo ThinkPad T14</t>
        </is>
      </c>
      <c r="G12" s="32" t="inlineStr">
        <is>
          <t>SN84346088</t>
        </is>
      </c>
      <c r="H12" s="32" t="inlineStr">
        <is>
          <t>10.24.150.58</t>
        </is>
      </c>
      <c r="I12" s="32" t="inlineStr">
        <is>
          <t>0A:F5:17:39:AB:18</t>
        </is>
      </c>
      <c r="J12" s="32" t="inlineStr">
        <is>
          <t>Aarav Mehta</t>
        </is>
      </c>
      <c r="K12" s="32" t="inlineStr">
        <is>
          <t>Security</t>
        </is>
      </c>
      <c r="L12" s="32" t="inlineStr">
        <is>
          <t>Bengaluru HQ</t>
        </is>
      </c>
      <c r="M12" s="32" t="inlineStr">
        <is>
          <t>In Repair</t>
        </is>
      </c>
      <c r="N12" s="37" t="n">
        <v>45788</v>
      </c>
      <c r="O12" s="37" t="n">
        <v>46883</v>
      </c>
      <c r="P12" s="32" t="inlineStr">
        <is>
          <t>CrowdStrike Falcon</t>
        </is>
      </c>
      <c r="Q12" s="32" t="inlineStr">
        <is>
          <t>Intune</t>
        </is>
      </c>
      <c r="R12" s="32" t="inlineStr">
        <is>
          <t>Yes</t>
        </is>
      </c>
      <c r="S12" s="37" t="n">
        <v>46308</v>
      </c>
    </row>
    <row r="13" ht="15" customHeight="1" s="12">
      <c r="A13" s="32" t="inlineStr">
        <is>
          <t>AST-0012</t>
        </is>
      </c>
      <c r="B13" s="32" t="inlineStr">
        <is>
          <t>WIN-4510</t>
        </is>
      </c>
      <c r="C13" s="32" t="inlineStr">
        <is>
          <t>Laptop</t>
        </is>
      </c>
      <c r="D13" s="32" t="inlineStr">
        <is>
          <t>Windows</t>
        </is>
      </c>
      <c r="E13" s="32" t="inlineStr">
        <is>
          <t>Windows 10 22H2</t>
        </is>
      </c>
      <c r="F13" s="32" t="inlineStr">
        <is>
          <t>Dell Latitude 5440</t>
        </is>
      </c>
      <c r="G13" s="32" t="inlineStr">
        <is>
          <t>SN86644106</t>
        </is>
      </c>
      <c r="H13" s="32" t="inlineStr">
        <is>
          <t>10.46.121.64</t>
        </is>
      </c>
      <c r="I13" s="32" t="inlineStr">
        <is>
          <t>D3:BA:22:94:AB:65</t>
        </is>
      </c>
      <c r="J13" s="32" t="inlineStr">
        <is>
          <t>Anita Das</t>
        </is>
      </c>
      <c r="K13" s="32" t="inlineStr">
        <is>
          <t>Marketing</t>
        </is>
      </c>
      <c r="L13" s="32" t="inlineStr">
        <is>
          <t>Hyderabad</t>
        </is>
      </c>
      <c r="M13" s="32" t="inlineStr">
        <is>
          <t>Active</t>
        </is>
      </c>
      <c r="N13" s="37" t="n">
        <v>44878</v>
      </c>
      <c r="O13" s="37" t="n">
        <v>45973</v>
      </c>
      <c r="P13" s="32" t="inlineStr">
        <is>
          <t>CrowdStrike Falcon</t>
        </is>
      </c>
      <c r="Q13" s="32" t="inlineStr">
        <is>
          <t>Intune</t>
        </is>
      </c>
      <c r="R13" s="32" t="inlineStr">
        <is>
          <t>Yes</t>
        </is>
      </c>
      <c r="S13" s="37" t="n">
        <v>46303</v>
      </c>
    </row>
    <row r="14" ht="15" customHeight="1" s="12">
      <c r="A14" s="32" t="inlineStr">
        <is>
          <t>AST-0013</t>
        </is>
      </c>
      <c r="B14" s="32" t="inlineStr">
        <is>
          <t>WIN-6559</t>
        </is>
      </c>
      <c r="C14" s="32" t="inlineStr">
        <is>
          <t>Laptop</t>
        </is>
      </c>
      <c r="D14" s="32" t="inlineStr">
        <is>
          <t>Windows</t>
        </is>
      </c>
      <c r="E14" s="32" t="inlineStr">
        <is>
          <t>Windows 11 23H2</t>
        </is>
      </c>
      <c r="F14" s="32" t="inlineStr">
        <is>
          <t>Dell Latitude 5440</t>
        </is>
      </c>
      <c r="G14" s="32" t="inlineStr">
        <is>
          <t>SN35714784</t>
        </is>
      </c>
      <c r="H14" s="32" t="inlineStr">
        <is>
          <t>10.22.137.116</t>
        </is>
      </c>
      <c r="I14" s="32" t="inlineStr">
        <is>
          <t>13:12:69:41:AB:19</t>
        </is>
      </c>
      <c r="J14" s="32" t="inlineStr">
        <is>
          <t>Meera Pillai</t>
        </is>
      </c>
      <c r="K14" s="32" t="inlineStr">
        <is>
          <t>Finance</t>
        </is>
      </c>
      <c r="L14" s="32" t="inlineStr">
        <is>
          <t>Bengaluru HQ</t>
        </is>
      </c>
      <c r="M14" s="32" t="inlineStr">
        <is>
          <t>In Repair</t>
        </is>
      </c>
      <c r="N14" s="37" t="n">
        <v>46124</v>
      </c>
      <c r="O14" s="37" t="n">
        <v>47219</v>
      </c>
      <c r="P14" s="32" t="inlineStr">
        <is>
          <t>CrowdStrike Falcon</t>
        </is>
      </c>
      <c r="Q14" s="32" t="inlineStr">
        <is>
          <t>Intune</t>
        </is>
      </c>
      <c r="R14" s="32" t="inlineStr">
        <is>
          <t>Yes</t>
        </is>
      </c>
      <c r="S14" s="37" t="n">
        <v>46305</v>
      </c>
    </row>
    <row r="15" ht="15" customHeight="1" s="12">
      <c r="A15" s="32" t="inlineStr">
        <is>
          <t>AST-0014</t>
        </is>
      </c>
      <c r="B15" s="32" t="inlineStr">
        <is>
          <t>WIN-7658</t>
        </is>
      </c>
      <c r="C15" s="32" t="inlineStr">
        <is>
          <t>Laptop</t>
        </is>
      </c>
      <c r="D15" s="32" t="inlineStr">
        <is>
          <t>Windows</t>
        </is>
      </c>
      <c r="E15" s="32" t="inlineStr">
        <is>
          <t>Windows 11 24H2</t>
        </is>
      </c>
      <c r="F15" s="32" t="inlineStr">
        <is>
          <t>HP EliteBook 840 G10</t>
        </is>
      </c>
      <c r="G15" s="32" t="inlineStr">
        <is>
          <t>SN38688676</t>
        </is>
      </c>
      <c r="H15" s="32" t="inlineStr">
        <is>
          <t>10.35.231.17</t>
        </is>
      </c>
      <c r="I15" s="32" t="inlineStr">
        <is>
          <t>13:03:43:68:AB:46</t>
        </is>
      </c>
      <c r="J15" s="32" t="inlineStr">
        <is>
          <t>Karan Shah</t>
        </is>
      </c>
      <c r="K15" s="32" t="inlineStr">
        <is>
          <t>Legal</t>
        </is>
      </c>
      <c r="L15" s="32" t="inlineStr">
        <is>
          <t>Mumbai</t>
        </is>
      </c>
      <c r="M15" s="32" t="inlineStr">
        <is>
          <t>Active</t>
        </is>
      </c>
      <c r="N15" s="37" t="n">
        <v>45764</v>
      </c>
      <c r="O15" s="37" t="n">
        <v>46859</v>
      </c>
      <c r="P15" s="32" t="inlineStr">
        <is>
          <t>CrowdStrike Falcon</t>
        </is>
      </c>
      <c r="Q15" s="32" t="inlineStr">
        <is>
          <t>Intune</t>
        </is>
      </c>
      <c r="R15" s="32" t="inlineStr">
        <is>
          <t>Yes</t>
        </is>
      </c>
      <c r="S15" s="37" t="n">
        <v>46308</v>
      </c>
    </row>
    <row r="16" ht="15" customHeight="1" s="12">
      <c r="A16" s="32" t="inlineStr">
        <is>
          <t>AST-0015</t>
        </is>
      </c>
      <c r="B16" s="32" t="inlineStr">
        <is>
          <t>WIN-9883</t>
        </is>
      </c>
      <c r="C16" s="32" t="inlineStr">
        <is>
          <t>Laptop</t>
        </is>
      </c>
      <c r="D16" s="32" t="inlineStr">
        <is>
          <t>Windows</t>
        </is>
      </c>
      <c r="E16" s="32" t="inlineStr">
        <is>
          <t>Windows 11 23H2</t>
        </is>
      </c>
      <c r="F16" s="32" t="inlineStr">
        <is>
          <t>Lenovo ThinkPad T14</t>
        </is>
      </c>
      <c r="G16" s="32" t="inlineStr">
        <is>
          <t>SN52091325</t>
        </is>
      </c>
      <c r="H16" s="32" t="inlineStr">
        <is>
          <t>10.13.12.151</t>
        </is>
      </c>
      <c r="I16" s="32" t="inlineStr">
        <is>
          <t>D4:41:17:75:AB:20</t>
        </is>
      </c>
      <c r="J16" s="32" t="inlineStr">
        <is>
          <t>Rohan Gupta</t>
        </is>
      </c>
      <c r="K16" s="32" t="inlineStr">
        <is>
          <t>Finance</t>
        </is>
      </c>
      <c r="L16" s="32" t="inlineStr">
        <is>
          <t>Pune</t>
        </is>
      </c>
      <c r="M16" s="32" t="inlineStr">
        <is>
          <t>Active</t>
        </is>
      </c>
      <c r="N16" s="37" t="n">
        <v>46129</v>
      </c>
      <c r="O16" s="37" t="n">
        <v>47224</v>
      </c>
      <c r="P16" s="32" t="inlineStr">
        <is>
          <t>CrowdStrike Falcon</t>
        </is>
      </c>
      <c r="Q16" s="32" t="inlineStr">
        <is>
          <t>Intune</t>
        </is>
      </c>
      <c r="R16" s="32" t="inlineStr">
        <is>
          <t>Yes</t>
        </is>
      </c>
      <c r="S16" s="37" t="n">
        <v>46293</v>
      </c>
    </row>
    <row r="17" ht="15" customHeight="1" s="12">
      <c r="A17" s="32" t="inlineStr">
        <is>
          <t>AST-0016</t>
        </is>
      </c>
      <c r="B17" s="32" t="inlineStr">
        <is>
          <t>WIN-5033</t>
        </is>
      </c>
      <c r="C17" s="32" t="inlineStr">
        <is>
          <t>Laptop</t>
        </is>
      </c>
      <c r="D17" s="32" t="inlineStr">
        <is>
          <t>Windows</t>
        </is>
      </c>
      <c r="E17" s="32" t="inlineStr">
        <is>
          <t>Windows 10 22H2</t>
        </is>
      </c>
      <c r="F17" s="32" t="inlineStr">
        <is>
          <t>Lenovo ThinkPad T14</t>
        </is>
      </c>
      <c r="G17" s="32" t="inlineStr">
        <is>
          <t>SN15334035</t>
        </is>
      </c>
      <c r="H17" s="32" t="inlineStr">
        <is>
          <t>10.49.20.109</t>
        </is>
      </c>
      <c r="I17" s="32" t="inlineStr">
        <is>
          <t>5E:E4:50:43:AB:36</t>
        </is>
      </c>
      <c r="J17" s="32" t="inlineStr">
        <is>
          <t>Anita Das</t>
        </is>
      </c>
      <c r="K17" s="32" t="inlineStr">
        <is>
          <t>Sales</t>
        </is>
      </c>
      <c r="L17" s="32" t="inlineStr">
        <is>
          <t>Delhi NCR</t>
        </is>
      </c>
      <c r="M17" s="32" t="inlineStr">
        <is>
          <t>Active</t>
        </is>
      </c>
      <c r="N17" s="37" t="n">
        <v>46003</v>
      </c>
      <c r="O17" s="37" t="n">
        <v>47098</v>
      </c>
      <c r="P17" s="32" t="inlineStr">
        <is>
          <t>CrowdStrike Falcon</t>
        </is>
      </c>
      <c r="Q17" s="32" t="inlineStr">
        <is>
          <t>Intune</t>
        </is>
      </c>
      <c r="R17" s="32" t="inlineStr">
        <is>
          <t>Yes</t>
        </is>
      </c>
      <c r="S17" s="37" t="n">
        <v>46293</v>
      </c>
    </row>
    <row r="18" ht="15" customHeight="1" s="12">
      <c r="A18" s="32" t="inlineStr">
        <is>
          <t>AST-0017</t>
        </is>
      </c>
      <c r="B18" s="32" t="inlineStr">
        <is>
          <t>WIN-2188</t>
        </is>
      </c>
      <c r="C18" s="32" t="inlineStr">
        <is>
          <t>Laptop</t>
        </is>
      </c>
      <c r="D18" s="32" t="inlineStr">
        <is>
          <t>Windows</t>
        </is>
      </c>
      <c r="E18" s="32" t="inlineStr">
        <is>
          <t>Windows 11 23H2</t>
        </is>
      </c>
      <c r="F18" s="32" t="inlineStr">
        <is>
          <t>HP EliteBook 840 G10</t>
        </is>
      </c>
      <c r="G18" s="32" t="inlineStr">
        <is>
          <t>SN93370583</t>
        </is>
      </c>
      <c r="H18" s="32" t="inlineStr">
        <is>
          <t>10.46.25.20</t>
        </is>
      </c>
      <c r="I18" s="32" t="inlineStr">
        <is>
          <t>4B:42:26:54:AB:18</t>
        </is>
      </c>
      <c r="J18" s="32" t="inlineStr">
        <is>
          <t>Sneha Iyer</t>
        </is>
      </c>
      <c r="K18" s="32" t="inlineStr">
        <is>
          <t>Security</t>
        </is>
      </c>
      <c r="L18" s="32" t="inlineStr">
        <is>
          <t>Delhi NCR</t>
        </is>
      </c>
      <c r="M18" s="32" t="inlineStr">
        <is>
          <t>Active</t>
        </is>
      </c>
      <c r="N18" s="37" t="n">
        <v>45312</v>
      </c>
      <c r="O18" s="37" t="n">
        <v>46407</v>
      </c>
      <c r="P18" s="32" t="inlineStr">
        <is>
          <t>CrowdStrike Falcon</t>
        </is>
      </c>
      <c r="Q18" s="32" t="inlineStr">
        <is>
          <t>Intune</t>
        </is>
      </c>
      <c r="R18" s="32" t="inlineStr">
        <is>
          <t>Yes</t>
        </is>
      </c>
      <c r="S18" s="37" t="n">
        <v>46306</v>
      </c>
    </row>
    <row r="19" ht="15" customHeight="1" s="12">
      <c r="A19" s="32" t="inlineStr">
        <is>
          <t>AST-0018</t>
        </is>
      </c>
      <c r="B19" s="32" t="inlineStr">
        <is>
          <t>WIN-9666</t>
        </is>
      </c>
      <c r="C19" s="32" t="inlineStr">
        <is>
          <t>Laptop</t>
        </is>
      </c>
      <c r="D19" s="32" t="inlineStr">
        <is>
          <t>Windows</t>
        </is>
      </c>
      <c r="E19" s="32" t="inlineStr">
        <is>
          <t>Windows 11 23H2</t>
        </is>
      </c>
      <c r="F19" s="32" t="inlineStr">
        <is>
          <t>Lenovo ThinkPad T14</t>
        </is>
      </c>
      <c r="G19" s="32" t="inlineStr">
        <is>
          <t>SN84437458</t>
        </is>
      </c>
      <c r="H19" s="32" t="inlineStr">
        <is>
          <t>10.29.238.171</t>
        </is>
      </c>
      <c r="I19" s="32" t="inlineStr">
        <is>
          <t>A1:2A:23:80:AB:29</t>
        </is>
      </c>
      <c r="J19" s="32" t="inlineStr">
        <is>
          <t>Vikram Rao</t>
        </is>
      </c>
      <c r="K19" s="32" t="inlineStr">
        <is>
          <t>IT Ops</t>
        </is>
      </c>
      <c r="L19" s="32" t="inlineStr">
        <is>
          <t>Pune</t>
        </is>
      </c>
      <c r="M19" s="32" t="inlineStr">
        <is>
          <t>Active</t>
        </is>
      </c>
      <c r="N19" s="37" t="n">
        <v>44808</v>
      </c>
      <c r="O19" s="37" t="n">
        <v>45903</v>
      </c>
      <c r="P19" s="32" t="inlineStr">
        <is>
          <t>CrowdStrike Falcon</t>
        </is>
      </c>
      <c r="Q19" s="32" t="inlineStr">
        <is>
          <t>Intune</t>
        </is>
      </c>
      <c r="R19" s="32" t="inlineStr">
        <is>
          <t>Yes</t>
        </is>
      </c>
      <c r="S19" s="37" t="n">
        <v>46307</v>
      </c>
    </row>
    <row r="20" ht="15" customHeight="1" s="12">
      <c r="A20" s="32" t="inlineStr">
        <is>
          <t>AST-0019</t>
        </is>
      </c>
      <c r="B20" s="32" t="inlineStr">
        <is>
          <t>WIN-5325</t>
        </is>
      </c>
      <c r="C20" s="32" t="inlineStr">
        <is>
          <t>Laptop</t>
        </is>
      </c>
      <c r="D20" s="32" t="inlineStr">
        <is>
          <t>Windows</t>
        </is>
      </c>
      <c r="E20" s="32" t="inlineStr">
        <is>
          <t>Windows 10 22H2</t>
        </is>
      </c>
      <c r="F20" s="32" t="inlineStr">
        <is>
          <t>HP EliteBook 840 G10</t>
        </is>
      </c>
      <c r="G20" s="32" t="inlineStr">
        <is>
          <t>SN43704923</t>
        </is>
      </c>
      <c r="H20" s="32" t="inlineStr">
        <is>
          <t>10.13.23.164</t>
        </is>
      </c>
      <c r="I20" s="32" t="inlineStr">
        <is>
          <t>32:00:52:26:AB:91</t>
        </is>
      </c>
      <c r="J20" s="32" t="inlineStr">
        <is>
          <t>Vikram Rao</t>
        </is>
      </c>
      <c r="K20" s="32" t="inlineStr">
        <is>
          <t>HR</t>
        </is>
      </c>
      <c r="L20" s="32" t="inlineStr">
        <is>
          <t>Remote</t>
        </is>
      </c>
      <c r="M20" s="32" t="inlineStr">
        <is>
          <t>Active</t>
        </is>
      </c>
      <c r="N20" s="37" t="n">
        <v>44841</v>
      </c>
      <c r="O20" s="37" t="n">
        <v>45936</v>
      </c>
      <c r="P20" s="32" t="inlineStr">
        <is>
          <t>CrowdStrike Falcon</t>
        </is>
      </c>
      <c r="Q20" s="32" t="inlineStr">
        <is>
          <t>Intune</t>
        </is>
      </c>
      <c r="R20" s="32" t="inlineStr">
        <is>
          <t>Yes</t>
        </is>
      </c>
      <c r="S20" s="37" t="n">
        <v>46273</v>
      </c>
    </row>
    <row r="21" ht="15" customHeight="1" s="12">
      <c r="A21" s="32" t="inlineStr">
        <is>
          <t>AST-0020</t>
        </is>
      </c>
      <c r="B21" s="32" t="inlineStr">
        <is>
          <t>WIN-2832</t>
        </is>
      </c>
      <c r="C21" s="32" t="inlineStr">
        <is>
          <t>Laptop</t>
        </is>
      </c>
      <c r="D21" s="32" t="inlineStr">
        <is>
          <t>Windows</t>
        </is>
      </c>
      <c r="E21" s="32" t="inlineStr">
        <is>
          <t>Windows 11 23H2</t>
        </is>
      </c>
      <c r="F21" s="32" t="inlineStr">
        <is>
          <t>Lenovo ThinkPad T14</t>
        </is>
      </c>
      <c r="G21" s="32" t="inlineStr">
        <is>
          <t>SN30005727</t>
        </is>
      </c>
      <c r="H21" s="32" t="inlineStr">
        <is>
          <t>10.44.9.215</t>
        </is>
      </c>
      <c r="I21" s="32" t="inlineStr">
        <is>
          <t>CE:41:65:26:AB:15</t>
        </is>
      </c>
      <c r="J21" s="32" t="inlineStr">
        <is>
          <t>Vikram Rao</t>
        </is>
      </c>
      <c r="K21" s="32" t="inlineStr">
        <is>
          <t>Security</t>
        </is>
      </c>
      <c r="L21" s="32" t="inlineStr">
        <is>
          <t>Bengaluru HQ</t>
        </is>
      </c>
      <c r="M21" s="32" t="inlineStr">
        <is>
          <t>Active</t>
        </is>
      </c>
      <c r="N21" s="37" t="n">
        <v>45100</v>
      </c>
      <c r="O21" s="37" t="n">
        <v>46195</v>
      </c>
      <c r="P21" s="32" t="inlineStr">
        <is>
          <t>CrowdStrike Falcon</t>
        </is>
      </c>
      <c r="Q21" s="32" t="inlineStr">
        <is>
          <t>Intune</t>
        </is>
      </c>
      <c r="R21" s="32" t="inlineStr">
        <is>
          <t>Yes</t>
        </is>
      </c>
      <c r="S21" s="37" t="n">
        <v>46308</v>
      </c>
    </row>
    <row r="22" ht="15" customHeight="1" s="12">
      <c r="A22" s="32" t="inlineStr">
        <is>
          <t>AST-0021</t>
        </is>
      </c>
      <c r="B22" s="32" t="inlineStr">
        <is>
          <t>WIN-6794</t>
        </is>
      </c>
      <c r="C22" s="32" t="inlineStr">
        <is>
          <t>Laptop</t>
        </is>
      </c>
      <c r="D22" s="32" t="inlineStr">
        <is>
          <t>Windows</t>
        </is>
      </c>
      <c r="E22" s="32" t="inlineStr">
        <is>
          <t>Windows 10 22H2</t>
        </is>
      </c>
      <c r="F22" s="32" t="inlineStr">
        <is>
          <t>HP EliteBook 840 G10</t>
        </is>
      </c>
      <c r="G22" s="32" t="inlineStr">
        <is>
          <t>SN93303777</t>
        </is>
      </c>
      <c r="H22" s="32" t="inlineStr">
        <is>
          <t>10.57.39.238</t>
        </is>
      </c>
      <c r="I22" s="32" t="inlineStr">
        <is>
          <t>B1:13:13:32:AB:52</t>
        </is>
      </c>
      <c r="J22" s="32" t="inlineStr">
        <is>
          <t>Karan Shah</t>
        </is>
      </c>
      <c r="K22" s="32" t="inlineStr">
        <is>
          <t>Sales</t>
        </is>
      </c>
      <c r="L22" s="32" t="inlineStr">
        <is>
          <t>Delhi NCR</t>
        </is>
      </c>
      <c r="M22" s="32" t="inlineStr">
        <is>
          <t>Active</t>
        </is>
      </c>
      <c r="N22" s="37" t="n">
        <v>44883</v>
      </c>
      <c r="O22" s="37" t="n">
        <v>45978</v>
      </c>
      <c r="P22" s="32" t="inlineStr">
        <is>
          <t>CrowdStrike Falcon</t>
        </is>
      </c>
      <c r="Q22" s="32" t="inlineStr">
        <is>
          <t>Intune</t>
        </is>
      </c>
      <c r="R22" s="32" t="inlineStr">
        <is>
          <t>Yes</t>
        </is>
      </c>
      <c r="S22" s="37" t="n">
        <v>46308</v>
      </c>
    </row>
    <row r="23" ht="15" customHeight="1" s="12">
      <c r="A23" s="32" t="inlineStr">
        <is>
          <t>AST-0022</t>
        </is>
      </c>
      <c r="B23" s="32" t="inlineStr">
        <is>
          <t>WIN-4644</t>
        </is>
      </c>
      <c r="C23" s="32" t="inlineStr">
        <is>
          <t>Laptop</t>
        </is>
      </c>
      <c r="D23" s="32" t="inlineStr">
        <is>
          <t>Windows</t>
        </is>
      </c>
      <c r="E23" s="32" t="inlineStr">
        <is>
          <t>Windows 11 23H2</t>
        </is>
      </c>
      <c r="F23" s="32" t="inlineStr">
        <is>
          <t>HP EliteBook 840 G10</t>
        </is>
      </c>
      <c r="G23" s="32" t="inlineStr">
        <is>
          <t>SN56930359</t>
        </is>
      </c>
      <c r="H23" s="32" t="inlineStr">
        <is>
          <t>10.29.210.205</t>
        </is>
      </c>
      <c r="I23" s="32" t="inlineStr">
        <is>
          <t>BB:05:34:61:AB:52</t>
        </is>
      </c>
      <c r="J23" s="32" t="inlineStr">
        <is>
          <t>Vikram Rao</t>
        </is>
      </c>
      <c r="K23" s="32" t="inlineStr">
        <is>
          <t>Finance</t>
        </is>
      </c>
      <c r="L23" s="32" t="inlineStr">
        <is>
          <t>Delhi NCR</t>
        </is>
      </c>
      <c r="M23" s="32" t="inlineStr">
        <is>
          <t>Active</t>
        </is>
      </c>
      <c r="N23" s="37" t="n">
        <v>46169</v>
      </c>
      <c r="O23" s="37" t="n">
        <v>47264</v>
      </c>
      <c r="P23" s="32" t="inlineStr">
        <is>
          <t>CrowdStrike Falcon</t>
        </is>
      </c>
      <c r="Q23" s="32" t="inlineStr">
        <is>
          <t>Intune</t>
        </is>
      </c>
      <c r="R23" s="32" t="inlineStr">
        <is>
          <t>Yes</t>
        </is>
      </c>
      <c r="S23" s="37" t="n">
        <v>46303</v>
      </c>
    </row>
    <row r="24" ht="15" customHeight="1" s="12">
      <c r="A24" s="32" t="inlineStr">
        <is>
          <t>AST-0023</t>
        </is>
      </c>
      <c r="B24" s="32" t="inlineStr">
        <is>
          <t>WKS-6425</t>
        </is>
      </c>
      <c r="C24" s="32" t="inlineStr">
        <is>
          <t>Desktop</t>
        </is>
      </c>
      <c r="D24" s="32" t="inlineStr">
        <is>
          <t>Windows</t>
        </is>
      </c>
      <c r="E24" s="32" t="inlineStr">
        <is>
          <t>Windows 11 23H2</t>
        </is>
      </c>
      <c r="F24" s="32" t="inlineStr">
        <is>
          <t>Dell OptiPlex 7010</t>
        </is>
      </c>
      <c r="G24" s="32" t="inlineStr">
        <is>
          <t>SN45059710</t>
        </is>
      </c>
      <c r="H24" s="32" t="inlineStr">
        <is>
          <t>10.21.148.248</t>
        </is>
      </c>
      <c r="I24" s="32" t="inlineStr">
        <is>
          <t>20:AE:65:54:AB:50</t>
        </is>
      </c>
      <c r="J24" s="32" t="inlineStr">
        <is>
          <t>Karan Shah</t>
        </is>
      </c>
      <c r="K24" s="32" t="inlineStr">
        <is>
          <t>Finance</t>
        </is>
      </c>
      <c r="L24" s="32" t="inlineStr">
        <is>
          <t>Hyderabad</t>
        </is>
      </c>
      <c r="M24" s="32" t="inlineStr">
        <is>
          <t>Retired</t>
        </is>
      </c>
      <c r="N24" s="37" t="n">
        <v>44857</v>
      </c>
      <c r="O24" s="37" t="n">
        <v>45952</v>
      </c>
      <c r="P24" s="32" t="inlineStr">
        <is>
          <t>CrowdStrike Falcon</t>
        </is>
      </c>
      <c r="Q24" s="32" t="inlineStr">
        <is>
          <t>Intune</t>
        </is>
      </c>
      <c r="R24" s="32" t="inlineStr">
        <is>
          <t>Yes</t>
        </is>
      </c>
      <c r="S24" s="37" t="n">
        <v>46299</v>
      </c>
    </row>
    <row r="25" ht="15" customHeight="1" s="12">
      <c r="A25" s="32" t="inlineStr">
        <is>
          <t>AST-0024</t>
        </is>
      </c>
      <c r="B25" s="32" t="inlineStr">
        <is>
          <t>WKS-8144</t>
        </is>
      </c>
      <c r="C25" s="32" t="inlineStr">
        <is>
          <t>Desktop</t>
        </is>
      </c>
      <c r="D25" s="32" t="inlineStr">
        <is>
          <t>Windows</t>
        </is>
      </c>
      <c r="E25" s="32" t="inlineStr">
        <is>
          <t>Windows 11 23H2</t>
        </is>
      </c>
      <c r="F25" s="32" t="inlineStr">
        <is>
          <t>Dell OptiPlex 7010</t>
        </is>
      </c>
      <c r="G25" s="32" t="inlineStr">
        <is>
          <t>SN58884978</t>
        </is>
      </c>
      <c r="H25" s="32" t="inlineStr">
        <is>
          <t>10.37.17.244</t>
        </is>
      </c>
      <c r="I25" s="32" t="inlineStr">
        <is>
          <t>5C:EC:94:25:AB:48</t>
        </is>
      </c>
      <c r="J25" s="32" t="inlineStr">
        <is>
          <t>Imran Khan</t>
        </is>
      </c>
      <c r="K25" s="32" t="inlineStr">
        <is>
          <t>IT Ops</t>
        </is>
      </c>
      <c r="L25" s="32" t="inlineStr">
        <is>
          <t>Remote</t>
        </is>
      </c>
      <c r="M25" s="32" t="inlineStr">
        <is>
          <t>Active</t>
        </is>
      </c>
      <c r="N25" s="37" t="n">
        <v>46158</v>
      </c>
      <c r="O25" s="37" t="n">
        <v>47253</v>
      </c>
      <c r="P25" s="32" t="inlineStr">
        <is>
          <t>CrowdStrike Falcon</t>
        </is>
      </c>
      <c r="Q25" s="32" t="inlineStr">
        <is>
          <t>Intune</t>
        </is>
      </c>
      <c r="R25" s="32" t="inlineStr">
        <is>
          <t>Yes</t>
        </is>
      </c>
      <c r="S25" s="37" t="n">
        <v>46248</v>
      </c>
    </row>
    <row r="26" ht="15" customHeight="1" s="12">
      <c r="A26" s="32" t="inlineStr">
        <is>
          <t>AST-0025</t>
        </is>
      </c>
      <c r="B26" s="32" t="inlineStr">
        <is>
          <t>WKS-3085</t>
        </is>
      </c>
      <c r="C26" s="32" t="inlineStr">
        <is>
          <t>Desktop</t>
        </is>
      </c>
      <c r="D26" s="32" t="inlineStr">
        <is>
          <t>Windows</t>
        </is>
      </c>
      <c r="E26" s="32" t="inlineStr">
        <is>
          <t>Windows 11 23H2</t>
        </is>
      </c>
      <c r="F26" s="32" t="inlineStr">
        <is>
          <t>HP ProDesk 400 G9</t>
        </is>
      </c>
      <c r="G26" s="32" t="inlineStr">
        <is>
          <t>SN99245317</t>
        </is>
      </c>
      <c r="H26" s="32" t="inlineStr">
        <is>
          <t>10.34.173.193</t>
        </is>
      </c>
      <c r="I26" s="32" t="inlineStr">
        <is>
          <t>1E:E2:61:80:AB:10</t>
        </is>
      </c>
      <c r="J26" s="32" t="inlineStr">
        <is>
          <t>Vikram Rao</t>
        </is>
      </c>
      <c r="K26" s="32" t="inlineStr">
        <is>
          <t>IT Ops</t>
        </is>
      </c>
      <c r="L26" s="32" t="inlineStr">
        <is>
          <t>Mumbai</t>
        </is>
      </c>
      <c r="M26" s="32" t="inlineStr">
        <is>
          <t>Active</t>
        </is>
      </c>
      <c r="N26" s="37" t="n">
        <v>44821</v>
      </c>
      <c r="O26" s="37" t="n">
        <v>45916</v>
      </c>
      <c r="P26" s="32" t="inlineStr">
        <is>
          <t>Not Installed</t>
        </is>
      </c>
      <c r="Q26" s="32" t="inlineStr">
        <is>
          <t>Intune</t>
        </is>
      </c>
      <c r="R26" s="32" t="inlineStr">
        <is>
          <t>No</t>
        </is>
      </c>
      <c r="S26" s="37" t="n">
        <v>46307</v>
      </c>
    </row>
    <row r="27" ht="15" customHeight="1" s="12">
      <c r="A27" s="32" t="inlineStr">
        <is>
          <t>AST-0026</t>
        </is>
      </c>
      <c r="B27" s="32" t="inlineStr">
        <is>
          <t>WKS-8618</t>
        </is>
      </c>
      <c r="C27" s="32" t="inlineStr">
        <is>
          <t>Desktop</t>
        </is>
      </c>
      <c r="D27" s="32" t="inlineStr">
        <is>
          <t>Windows</t>
        </is>
      </c>
      <c r="E27" s="32" t="inlineStr">
        <is>
          <t>Windows 10 22H2</t>
        </is>
      </c>
      <c r="F27" s="32" t="inlineStr">
        <is>
          <t>HP ProDesk 400 G9</t>
        </is>
      </c>
      <c r="G27" s="32" t="inlineStr">
        <is>
          <t>SN38682516</t>
        </is>
      </c>
      <c r="H27" s="32" t="inlineStr">
        <is>
          <t>10.42.121.205</t>
        </is>
      </c>
      <c r="I27" s="32" t="inlineStr">
        <is>
          <t>F1:5A:46:75:AB:94</t>
        </is>
      </c>
      <c r="J27" s="32" t="inlineStr">
        <is>
          <t>Divya Menon</t>
        </is>
      </c>
      <c r="K27" s="32" t="inlineStr">
        <is>
          <t>Security</t>
        </is>
      </c>
      <c r="L27" s="32" t="inlineStr">
        <is>
          <t>Bengaluru HQ</t>
        </is>
      </c>
      <c r="M27" s="32" t="inlineStr">
        <is>
          <t>Active</t>
        </is>
      </c>
      <c r="N27" s="37" t="n">
        <v>44908</v>
      </c>
      <c r="O27" s="37" t="n">
        <v>46003</v>
      </c>
      <c r="P27" s="32" t="inlineStr">
        <is>
          <t>CrowdStrike Falcon</t>
        </is>
      </c>
      <c r="Q27" s="32" t="inlineStr">
        <is>
          <t>Intune</t>
        </is>
      </c>
      <c r="R27" s="32" t="inlineStr">
        <is>
          <t>Yes</t>
        </is>
      </c>
      <c r="S27" s="37" t="n">
        <v>46306</v>
      </c>
    </row>
    <row r="28" ht="15" customHeight="1" s="12">
      <c r="A28" s="32" t="inlineStr">
        <is>
          <t>AST-0027</t>
        </is>
      </c>
      <c r="B28" s="32" t="inlineStr">
        <is>
          <t>MAC-1400</t>
        </is>
      </c>
      <c r="C28" s="32" t="inlineStr">
        <is>
          <t>Laptop</t>
        </is>
      </c>
      <c r="D28" s="32" t="inlineStr">
        <is>
          <t>macOS</t>
        </is>
      </c>
      <c r="E28" s="32" t="inlineStr">
        <is>
          <t>macOS 14 Sonoma</t>
        </is>
      </c>
      <c r="F28" s="32" t="inlineStr">
        <is>
          <t>MacBook Pro 14 M3</t>
        </is>
      </c>
      <c r="G28" s="32" t="inlineStr">
        <is>
          <t>SN73771720</t>
        </is>
      </c>
      <c r="H28" s="32" t="inlineStr">
        <is>
          <t>10.49.217.198</t>
        </is>
      </c>
      <c r="I28" s="32" t="inlineStr">
        <is>
          <t>AD:35:83:34:AB:99</t>
        </is>
      </c>
      <c r="J28" s="32" t="inlineStr">
        <is>
          <t>Karan Shah</t>
        </is>
      </c>
      <c r="K28" s="32" t="inlineStr">
        <is>
          <t>Legal</t>
        </is>
      </c>
      <c r="L28" s="32" t="inlineStr">
        <is>
          <t>Hyderabad</t>
        </is>
      </c>
      <c r="M28" s="32" t="inlineStr">
        <is>
          <t>Active</t>
        </is>
      </c>
      <c r="N28" s="37" t="n">
        <v>45841</v>
      </c>
      <c r="O28" s="37" t="n">
        <v>46936</v>
      </c>
      <c r="P28" s="32" t="inlineStr">
        <is>
          <t>CrowdStrike Falcon</t>
        </is>
      </c>
      <c r="Q28" s="32" t="inlineStr">
        <is>
          <t>JAMF</t>
        </is>
      </c>
      <c r="R28" s="32" t="inlineStr">
        <is>
          <t>Yes</t>
        </is>
      </c>
      <c r="S28" s="37" t="n">
        <v>46308</v>
      </c>
    </row>
    <row r="29" ht="15" customHeight="1" s="12">
      <c r="A29" s="32" t="inlineStr">
        <is>
          <t>AST-0028</t>
        </is>
      </c>
      <c r="B29" s="32" t="inlineStr">
        <is>
          <t>MAC-4585</t>
        </is>
      </c>
      <c r="C29" s="32" t="inlineStr">
        <is>
          <t>Laptop</t>
        </is>
      </c>
      <c r="D29" s="32" t="inlineStr">
        <is>
          <t>macOS</t>
        </is>
      </c>
      <c r="E29" s="32" t="inlineStr">
        <is>
          <t>macOS 14 Sonoma</t>
        </is>
      </c>
      <c r="F29" s="32" t="inlineStr">
        <is>
          <t>MacBook Pro 16 M3 Pro</t>
        </is>
      </c>
      <c r="G29" s="32" t="inlineStr">
        <is>
          <t>SN79519112</t>
        </is>
      </c>
      <c r="H29" s="32" t="inlineStr">
        <is>
          <t>10.39.12.144</t>
        </is>
      </c>
      <c r="I29" s="32" t="inlineStr">
        <is>
          <t>BA:D1:69:95:AB:77</t>
        </is>
      </c>
      <c r="J29" s="32" t="inlineStr">
        <is>
          <t>Imran Khan</t>
        </is>
      </c>
      <c r="K29" s="32" t="inlineStr">
        <is>
          <t>Security</t>
        </is>
      </c>
      <c r="L29" s="32" t="inlineStr">
        <is>
          <t>Hyderabad</t>
        </is>
      </c>
      <c r="M29" s="32" t="inlineStr">
        <is>
          <t>Retired</t>
        </is>
      </c>
      <c r="N29" s="37" t="n">
        <v>46030</v>
      </c>
      <c r="O29" s="37" t="n">
        <v>47125</v>
      </c>
      <c r="P29" s="32" t="inlineStr">
        <is>
          <t>CrowdStrike Falcon</t>
        </is>
      </c>
      <c r="Q29" s="32" t="inlineStr">
        <is>
          <t>JAMF</t>
        </is>
      </c>
      <c r="R29" s="32" t="inlineStr">
        <is>
          <t>Yes</t>
        </is>
      </c>
      <c r="S29" s="37" t="n">
        <v>46305</v>
      </c>
    </row>
    <row r="30" ht="15" customHeight="1" s="12">
      <c r="A30" s="32" t="inlineStr">
        <is>
          <t>AST-0029</t>
        </is>
      </c>
      <c r="B30" s="32" t="inlineStr">
        <is>
          <t>MAC-3607</t>
        </is>
      </c>
      <c r="C30" s="32" t="inlineStr">
        <is>
          <t>Laptop</t>
        </is>
      </c>
      <c r="D30" s="32" t="inlineStr">
        <is>
          <t>macOS</t>
        </is>
      </c>
      <c r="E30" s="32" t="inlineStr">
        <is>
          <t>macOS 26 Tahoe</t>
        </is>
      </c>
      <c r="F30" s="32" t="inlineStr">
        <is>
          <t>MacBook Air 13 M2</t>
        </is>
      </c>
      <c r="G30" s="32" t="inlineStr">
        <is>
          <t>SN70407340</t>
        </is>
      </c>
      <c r="H30" s="32" t="inlineStr">
        <is>
          <t>10.26.192.65</t>
        </is>
      </c>
      <c r="I30" s="32" t="inlineStr">
        <is>
          <t>52:4D:90:40:AB:45</t>
        </is>
      </c>
      <c r="J30" s="32" t="inlineStr">
        <is>
          <t>Meera Pillai</t>
        </is>
      </c>
      <c r="K30" s="32" t="inlineStr">
        <is>
          <t>Finance</t>
        </is>
      </c>
      <c r="L30" s="32" t="inlineStr">
        <is>
          <t>Remote</t>
        </is>
      </c>
      <c r="M30" s="32" t="inlineStr">
        <is>
          <t>Active</t>
        </is>
      </c>
      <c r="N30" s="37" t="n">
        <v>45126</v>
      </c>
      <c r="O30" s="37" t="n">
        <v>46221</v>
      </c>
      <c r="P30" s="32" t="inlineStr">
        <is>
          <t>CrowdStrike Falcon</t>
        </is>
      </c>
      <c r="Q30" s="32" t="inlineStr">
        <is>
          <t>JAMF</t>
        </is>
      </c>
      <c r="R30" s="32" t="inlineStr">
        <is>
          <t>Yes</t>
        </is>
      </c>
      <c r="S30" s="37" t="n">
        <v>46303</v>
      </c>
    </row>
    <row r="31" ht="15" customHeight="1" s="12">
      <c r="A31" s="32" t="inlineStr">
        <is>
          <t>AST-0030</t>
        </is>
      </c>
      <c r="B31" s="32" t="inlineStr">
        <is>
          <t>MAC-9849</t>
        </is>
      </c>
      <c r="C31" s="32" t="inlineStr">
        <is>
          <t>Laptop</t>
        </is>
      </c>
      <c r="D31" s="32" t="inlineStr">
        <is>
          <t>macOS</t>
        </is>
      </c>
      <c r="E31" s="32" t="inlineStr">
        <is>
          <t>macOS 14 Sonoma</t>
        </is>
      </c>
      <c r="F31" s="32" t="inlineStr">
        <is>
          <t>MacBook Pro 14 M3</t>
        </is>
      </c>
      <c r="G31" s="32" t="inlineStr">
        <is>
          <t>SN30244148</t>
        </is>
      </c>
      <c r="H31" s="32" t="inlineStr">
        <is>
          <t>10.24.98.179</t>
        </is>
      </c>
      <c r="I31" s="32" t="inlineStr">
        <is>
          <t>1F:BA:63:62:AB:52</t>
        </is>
      </c>
      <c r="J31" s="32" t="inlineStr">
        <is>
          <t>Imran Khan</t>
        </is>
      </c>
      <c r="K31" s="32" t="inlineStr">
        <is>
          <t>Legal</t>
        </is>
      </c>
      <c r="L31" s="32" t="inlineStr">
        <is>
          <t>Hyderabad</t>
        </is>
      </c>
      <c r="M31" s="32" t="inlineStr">
        <is>
          <t>Active</t>
        </is>
      </c>
      <c r="N31" s="37" t="n">
        <v>45561</v>
      </c>
      <c r="O31" s="37" t="n">
        <v>46656</v>
      </c>
      <c r="P31" s="32" t="inlineStr">
        <is>
          <t>CrowdStrike Falcon</t>
        </is>
      </c>
      <c r="Q31" s="32" t="inlineStr">
        <is>
          <t>JAMF</t>
        </is>
      </c>
      <c r="R31" s="32" t="inlineStr">
        <is>
          <t>Yes</t>
        </is>
      </c>
      <c r="S31" s="37" t="n">
        <v>46306</v>
      </c>
    </row>
    <row r="32" ht="15" customHeight="1" s="12">
      <c r="A32" s="32" t="inlineStr">
        <is>
          <t>AST-0031</t>
        </is>
      </c>
      <c r="B32" s="32" t="inlineStr">
        <is>
          <t>MAC-1320</t>
        </is>
      </c>
      <c r="C32" s="32" t="inlineStr">
        <is>
          <t>Laptop</t>
        </is>
      </c>
      <c r="D32" s="32" t="inlineStr">
        <is>
          <t>macOS</t>
        </is>
      </c>
      <c r="E32" s="32" t="inlineStr">
        <is>
          <t>macOS 26 Tahoe</t>
        </is>
      </c>
      <c r="F32" s="32" t="inlineStr">
        <is>
          <t>MacBook Air 13 M2</t>
        </is>
      </c>
      <c r="G32" s="32" t="inlineStr">
        <is>
          <t>SN74019136</t>
        </is>
      </c>
      <c r="H32" s="32" t="inlineStr">
        <is>
          <t>10.10.241.92</t>
        </is>
      </c>
      <c r="I32" s="32" t="inlineStr">
        <is>
          <t>23:34:79:87:AB:38</t>
        </is>
      </c>
      <c r="J32" s="32" t="inlineStr">
        <is>
          <t>Meera Pillai</t>
        </is>
      </c>
      <c r="K32" s="32" t="inlineStr">
        <is>
          <t>Sales</t>
        </is>
      </c>
      <c r="L32" s="32" t="inlineStr">
        <is>
          <t>Delhi NCR</t>
        </is>
      </c>
      <c r="M32" s="32" t="inlineStr">
        <is>
          <t>Active</t>
        </is>
      </c>
      <c r="N32" s="37" t="n">
        <v>45451</v>
      </c>
      <c r="O32" s="37" t="n">
        <v>46546</v>
      </c>
      <c r="P32" s="32" t="inlineStr">
        <is>
          <t>CrowdStrike Falcon</t>
        </is>
      </c>
      <c r="Q32" s="32" t="inlineStr">
        <is>
          <t>JAMF</t>
        </is>
      </c>
      <c r="R32" s="32" t="inlineStr">
        <is>
          <t>Yes</t>
        </is>
      </c>
      <c r="S32" s="37" t="n">
        <v>46293</v>
      </c>
    </row>
    <row r="33" ht="15" customHeight="1" s="12">
      <c r="A33" s="32" t="inlineStr">
        <is>
          <t>AST-0032</t>
        </is>
      </c>
      <c r="B33" s="32" t="inlineStr">
        <is>
          <t>MAC-7624</t>
        </is>
      </c>
      <c r="C33" s="32" t="inlineStr">
        <is>
          <t>Laptop</t>
        </is>
      </c>
      <c r="D33" s="32" t="inlineStr">
        <is>
          <t>macOS</t>
        </is>
      </c>
      <c r="E33" s="32" t="inlineStr">
        <is>
          <t>macOS 26 Tahoe</t>
        </is>
      </c>
      <c r="F33" s="32" t="inlineStr">
        <is>
          <t>MacBook Pro 14 M3</t>
        </is>
      </c>
      <c r="G33" s="32" t="inlineStr">
        <is>
          <t>SN72732043</t>
        </is>
      </c>
      <c r="H33" s="32" t="inlineStr">
        <is>
          <t>10.18.251.161</t>
        </is>
      </c>
      <c r="I33" s="32" t="inlineStr">
        <is>
          <t>40:3E:82:94:AB:13</t>
        </is>
      </c>
      <c r="J33" s="32" t="inlineStr">
        <is>
          <t>Priya Nair</t>
        </is>
      </c>
      <c r="K33" s="32" t="inlineStr">
        <is>
          <t>Marketing</t>
        </is>
      </c>
      <c r="L33" s="32" t="inlineStr">
        <is>
          <t>Mumbai</t>
        </is>
      </c>
      <c r="M33" s="32" t="inlineStr">
        <is>
          <t>Active</t>
        </is>
      </c>
      <c r="N33" s="37" t="n">
        <v>45452</v>
      </c>
      <c r="O33" s="37" t="n">
        <v>46547</v>
      </c>
      <c r="P33" s="32" t="inlineStr">
        <is>
          <t>CrowdStrike Falcon</t>
        </is>
      </c>
      <c r="Q33" s="32" t="inlineStr">
        <is>
          <t>JAMF</t>
        </is>
      </c>
      <c r="R33" s="32" t="inlineStr">
        <is>
          <t>Yes</t>
        </is>
      </c>
      <c r="S33" s="37" t="n">
        <v>46306</v>
      </c>
    </row>
    <row r="34" ht="15" customHeight="1" s="12">
      <c r="A34" s="32" t="inlineStr">
        <is>
          <t>AST-0033</t>
        </is>
      </c>
      <c r="B34" s="32" t="inlineStr">
        <is>
          <t>MAC-6363</t>
        </is>
      </c>
      <c r="C34" s="32" t="inlineStr">
        <is>
          <t>Laptop</t>
        </is>
      </c>
      <c r="D34" s="32" t="inlineStr">
        <is>
          <t>macOS</t>
        </is>
      </c>
      <c r="E34" s="32" t="inlineStr">
        <is>
          <t>macOS 14 Sonoma</t>
        </is>
      </c>
      <c r="F34" s="32" t="inlineStr">
        <is>
          <t>MacBook Air 13 M2</t>
        </is>
      </c>
      <c r="G34" s="32" t="inlineStr">
        <is>
          <t>SN53868501</t>
        </is>
      </c>
      <c r="H34" s="32" t="inlineStr">
        <is>
          <t>10.31.194.227</t>
        </is>
      </c>
      <c r="I34" s="32" t="inlineStr">
        <is>
          <t>32:32:20:70:AB:12</t>
        </is>
      </c>
      <c r="J34" s="32" t="inlineStr">
        <is>
          <t>Imran Khan</t>
        </is>
      </c>
      <c r="K34" s="32" t="inlineStr">
        <is>
          <t>Engineering</t>
        </is>
      </c>
      <c r="L34" s="32" t="inlineStr">
        <is>
          <t>Delhi NCR</t>
        </is>
      </c>
      <c r="M34" s="32" t="inlineStr">
        <is>
          <t>Active</t>
        </is>
      </c>
      <c r="N34" s="37" t="n">
        <v>45716</v>
      </c>
      <c r="O34" s="37" t="n">
        <v>46811</v>
      </c>
      <c r="P34" s="32" t="inlineStr">
        <is>
          <t>CrowdStrike Falcon</t>
        </is>
      </c>
      <c r="Q34" s="32" t="inlineStr">
        <is>
          <t>JAMF</t>
        </is>
      </c>
      <c r="R34" s="32" t="inlineStr">
        <is>
          <t>Yes</t>
        </is>
      </c>
      <c r="S34" s="37" t="n">
        <v>46305</v>
      </c>
    </row>
    <row r="35" ht="15" customHeight="1" s="12">
      <c r="A35" s="32" t="inlineStr">
        <is>
          <t>AST-0034</t>
        </is>
      </c>
      <c r="B35" s="32" t="inlineStr">
        <is>
          <t>MAC-4266</t>
        </is>
      </c>
      <c r="C35" s="32" t="inlineStr">
        <is>
          <t>Laptop</t>
        </is>
      </c>
      <c r="D35" s="32" t="inlineStr">
        <is>
          <t>macOS</t>
        </is>
      </c>
      <c r="E35" s="32" t="inlineStr">
        <is>
          <t>macOS 14 Sonoma</t>
        </is>
      </c>
      <c r="F35" s="32" t="inlineStr">
        <is>
          <t>MacBook Pro 16 M3 Pro</t>
        </is>
      </c>
      <c r="G35" s="32" t="inlineStr">
        <is>
          <t>SN30452412</t>
        </is>
      </c>
      <c r="H35" s="32" t="inlineStr">
        <is>
          <t>10.25.32.123</t>
        </is>
      </c>
      <c r="I35" s="32" t="inlineStr">
        <is>
          <t>5A:EB:69:99:AB:42</t>
        </is>
      </c>
      <c r="J35" s="32" t="inlineStr">
        <is>
          <t>Anita Das</t>
        </is>
      </c>
      <c r="K35" s="32" t="inlineStr">
        <is>
          <t>HR</t>
        </is>
      </c>
      <c r="L35" s="32" t="inlineStr">
        <is>
          <t>Pune</t>
        </is>
      </c>
      <c r="M35" s="32" t="inlineStr">
        <is>
          <t>Retired</t>
        </is>
      </c>
      <c r="N35" s="37" t="n">
        <v>46185</v>
      </c>
      <c r="O35" s="37" t="n">
        <v>47280</v>
      </c>
      <c r="P35" s="32" t="inlineStr">
        <is>
          <t>CrowdStrike Falcon</t>
        </is>
      </c>
      <c r="Q35" s="32" t="inlineStr">
        <is>
          <t>JAMF</t>
        </is>
      </c>
      <c r="R35" s="32" t="inlineStr">
        <is>
          <t>Yes</t>
        </is>
      </c>
      <c r="S35" s="37" t="n">
        <v>46307</v>
      </c>
    </row>
    <row r="36" ht="15" customHeight="1" s="12">
      <c r="A36" s="32" t="inlineStr">
        <is>
          <t>AST-0035</t>
        </is>
      </c>
      <c r="B36" s="32" t="inlineStr">
        <is>
          <t>MAC-1420</t>
        </is>
      </c>
      <c r="C36" s="32" t="inlineStr">
        <is>
          <t>Laptop</t>
        </is>
      </c>
      <c r="D36" s="32" t="inlineStr">
        <is>
          <t>macOS</t>
        </is>
      </c>
      <c r="E36" s="32" t="inlineStr">
        <is>
          <t>macOS 15 Sequoia</t>
        </is>
      </c>
      <c r="F36" s="32" t="inlineStr">
        <is>
          <t>MacBook Pro 16 M3 Pro</t>
        </is>
      </c>
      <c r="G36" s="32" t="inlineStr">
        <is>
          <t>SN60372847</t>
        </is>
      </c>
      <c r="H36" s="32" t="inlineStr">
        <is>
          <t>10.35.241.185</t>
        </is>
      </c>
      <c r="I36" s="32" t="inlineStr">
        <is>
          <t>BA:EF:90:41:AB:23</t>
        </is>
      </c>
      <c r="J36" s="32" t="inlineStr">
        <is>
          <t>Vikram Rao</t>
        </is>
      </c>
      <c r="K36" s="32" t="inlineStr">
        <is>
          <t>Finance</t>
        </is>
      </c>
      <c r="L36" s="32" t="inlineStr">
        <is>
          <t>Pune</t>
        </is>
      </c>
      <c r="M36" s="32" t="inlineStr">
        <is>
          <t>Active</t>
        </is>
      </c>
      <c r="N36" s="37" t="n">
        <v>45611</v>
      </c>
      <c r="O36" s="37" t="n">
        <v>46706</v>
      </c>
      <c r="P36" s="32" t="inlineStr">
        <is>
          <t>CrowdStrike Falcon</t>
        </is>
      </c>
      <c r="Q36" s="32" t="inlineStr">
        <is>
          <t>JAMF</t>
        </is>
      </c>
      <c r="R36" s="32" t="inlineStr">
        <is>
          <t>Yes</t>
        </is>
      </c>
      <c r="S36" s="37" t="n">
        <v>46308</v>
      </c>
    </row>
    <row r="37" ht="15" customHeight="1" s="12">
      <c r="A37" s="32" t="inlineStr">
        <is>
          <t>AST-0036</t>
        </is>
      </c>
      <c r="B37" s="32" t="inlineStr">
        <is>
          <t>MAC-7071</t>
        </is>
      </c>
      <c r="C37" s="32" t="inlineStr">
        <is>
          <t>Laptop</t>
        </is>
      </c>
      <c r="D37" s="32" t="inlineStr">
        <is>
          <t>macOS</t>
        </is>
      </c>
      <c r="E37" s="32" t="inlineStr">
        <is>
          <t>macOS 14 Sonoma</t>
        </is>
      </c>
      <c r="F37" s="32" t="inlineStr">
        <is>
          <t>MacBook Pro 16 M3 Pro</t>
        </is>
      </c>
      <c r="G37" s="32" t="inlineStr">
        <is>
          <t>SN96911784</t>
        </is>
      </c>
      <c r="H37" s="32" t="inlineStr">
        <is>
          <t>10.31.3.219</t>
        </is>
      </c>
      <c r="I37" s="32" t="inlineStr">
        <is>
          <t>3D:A3:56:91:AB:68</t>
        </is>
      </c>
      <c r="J37" s="32" t="inlineStr">
        <is>
          <t>Rohan Gupta</t>
        </is>
      </c>
      <c r="K37" s="32" t="inlineStr">
        <is>
          <t>Marketing</t>
        </is>
      </c>
      <c r="L37" s="32" t="inlineStr">
        <is>
          <t>Mumbai</t>
        </is>
      </c>
      <c r="M37" s="32" t="inlineStr">
        <is>
          <t>In Repair</t>
        </is>
      </c>
      <c r="N37" s="37" t="n">
        <v>45371</v>
      </c>
      <c r="O37" s="37" t="n">
        <v>46466</v>
      </c>
      <c r="P37" s="32" t="inlineStr">
        <is>
          <t>CrowdStrike Falcon</t>
        </is>
      </c>
      <c r="Q37" s="32" t="inlineStr">
        <is>
          <t>JAMF</t>
        </is>
      </c>
      <c r="R37" s="32" t="inlineStr">
        <is>
          <t>No</t>
        </is>
      </c>
      <c r="S37" s="37" t="n">
        <v>46273</v>
      </c>
    </row>
    <row r="38" ht="15" customHeight="1" s="12">
      <c r="A38" s="32" t="inlineStr">
        <is>
          <t>AST-0037</t>
        </is>
      </c>
      <c r="B38" s="32" t="inlineStr">
        <is>
          <t>MAC-8616</t>
        </is>
      </c>
      <c r="C38" s="32" t="inlineStr">
        <is>
          <t>Laptop</t>
        </is>
      </c>
      <c r="D38" s="32" t="inlineStr">
        <is>
          <t>macOS</t>
        </is>
      </c>
      <c r="E38" s="32" t="inlineStr">
        <is>
          <t>macOS 15 Sequoia</t>
        </is>
      </c>
      <c r="F38" s="32" t="inlineStr">
        <is>
          <t>MacBook Pro 16 M3 Pro</t>
        </is>
      </c>
      <c r="G38" s="32" t="inlineStr">
        <is>
          <t>SN89520597</t>
        </is>
      </c>
      <c r="H38" s="32" t="inlineStr">
        <is>
          <t>10.27.82.220</t>
        </is>
      </c>
      <c r="I38" s="32" t="inlineStr">
        <is>
          <t>BA:2D:41:69:AB:82</t>
        </is>
      </c>
      <c r="J38" s="32" t="inlineStr">
        <is>
          <t>Divya Menon</t>
        </is>
      </c>
      <c r="K38" s="32" t="inlineStr">
        <is>
          <t>Marketing</t>
        </is>
      </c>
      <c r="L38" s="32" t="inlineStr">
        <is>
          <t>Delhi NCR</t>
        </is>
      </c>
      <c r="M38" s="32" t="inlineStr">
        <is>
          <t>Active</t>
        </is>
      </c>
      <c r="N38" s="37" t="n">
        <v>45146</v>
      </c>
      <c r="O38" s="37" t="n">
        <v>46241</v>
      </c>
      <c r="P38" s="32" t="inlineStr">
        <is>
          <t>CrowdStrike Falcon</t>
        </is>
      </c>
      <c r="Q38" s="32" t="inlineStr">
        <is>
          <t>JAMF</t>
        </is>
      </c>
      <c r="R38" s="32" t="inlineStr">
        <is>
          <t>Yes</t>
        </is>
      </c>
      <c r="S38" s="37" t="n">
        <v>46303</v>
      </c>
    </row>
    <row r="39" ht="15" customHeight="1" s="12">
      <c r="A39" s="32" t="inlineStr">
        <is>
          <t>AST-0038</t>
        </is>
      </c>
      <c r="B39" s="32" t="inlineStr">
        <is>
          <t>MAC-4475</t>
        </is>
      </c>
      <c r="C39" s="32" t="inlineStr">
        <is>
          <t>Laptop</t>
        </is>
      </c>
      <c r="D39" s="32" t="inlineStr">
        <is>
          <t>macOS</t>
        </is>
      </c>
      <c r="E39" s="32" t="inlineStr">
        <is>
          <t>macOS 15 Sequoia</t>
        </is>
      </c>
      <c r="F39" s="32" t="inlineStr">
        <is>
          <t>MacBook Air 13 M2</t>
        </is>
      </c>
      <c r="G39" s="32" t="inlineStr">
        <is>
          <t>SN55679506</t>
        </is>
      </c>
      <c r="H39" s="32" t="inlineStr">
        <is>
          <t>10.27.225.154</t>
        </is>
      </c>
      <c r="I39" s="32" t="inlineStr">
        <is>
          <t>F2:40:76:34:AB:20</t>
        </is>
      </c>
      <c r="J39" s="32" t="inlineStr">
        <is>
          <t>Sneha Iyer</t>
        </is>
      </c>
      <c r="K39" s="32" t="inlineStr">
        <is>
          <t>Marketing</t>
        </is>
      </c>
      <c r="L39" s="32" t="inlineStr">
        <is>
          <t>Hyderabad</t>
        </is>
      </c>
      <c r="M39" s="32" t="inlineStr">
        <is>
          <t>In Repair</t>
        </is>
      </c>
      <c r="N39" s="37" t="n">
        <v>45876</v>
      </c>
      <c r="O39" s="37" t="n">
        <v>46971</v>
      </c>
      <c r="P39" s="32" t="inlineStr">
        <is>
          <t>CrowdStrike Falcon</t>
        </is>
      </c>
      <c r="Q39" s="32" t="inlineStr">
        <is>
          <t>JAMF</t>
        </is>
      </c>
      <c r="R39" s="32" t="inlineStr">
        <is>
          <t>Yes</t>
        </is>
      </c>
      <c r="S39" s="37" t="n">
        <v>46303</v>
      </c>
    </row>
    <row r="40" ht="15" customHeight="1" s="12">
      <c r="A40" s="32" t="inlineStr">
        <is>
          <t>AST-0039</t>
        </is>
      </c>
      <c r="B40" s="32" t="inlineStr">
        <is>
          <t>MAC-9041</t>
        </is>
      </c>
      <c r="C40" s="32" t="inlineStr">
        <is>
          <t>Laptop</t>
        </is>
      </c>
      <c r="D40" s="32" t="inlineStr">
        <is>
          <t>macOS</t>
        </is>
      </c>
      <c r="E40" s="32" t="inlineStr">
        <is>
          <t>macOS 15 Sequoia</t>
        </is>
      </c>
      <c r="F40" s="32" t="inlineStr">
        <is>
          <t>MacBook Pro 14 M3</t>
        </is>
      </c>
      <c r="G40" s="32" t="inlineStr">
        <is>
          <t>SN22489409</t>
        </is>
      </c>
      <c r="H40" s="32" t="inlineStr">
        <is>
          <t>10.28.56.105</t>
        </is>
      </c>
      <c r="I40" s="32" t="inlineStr">
        <is>
          <t>FB:25:84:57:AB:70</t>
        </is>
      </c>
      <c r="J40" s="32" t="inlineStr">
        <is>
          <t>Imran Khan</t>
        </is>
      </c>
      <c r="K40" s="32" t="inlineStr">
        <is>
          <t>Security</t>
        </is>
      </c>
      <c r="L40" s="32" t="inlineStr">
        <is>
          <t>Hyderabad</t>
        </is>
      </c>
      <c r="M40" s="32" t="inlineStr">
        <is>
          <t>In Repair</t>
        </is>
      </c>
      <c r="N40" s="37" t="n">
        <v>44926</v>
      </c>
      <c r="O40" s="37" t="n">
        <v>46021</v>
      </c>
      <c r="P40" s="32" t="inlineStr">
        <is>
          <t>CrowdStrike Falcon</t>
        </is>
      </c>
      <c r="Q40" s="32" t="inlineStr">
        <is>
          <t>JAMF</t>
        </is>
      </c>
      <c r="R40" s="32" t="inlineStr">
        <is>
          <t>Yes</t>
        </is>
      </c>
      <c r="S40" s="37" t="n">
        <v>46248</v>
      </c>
    </row>
    <row r="41" ht="15" customHeight="1" s="12">
      <c r="A41" s="32" t="inlineStr">
        <is>
          <t>AST-0040</t>
        </is>
      </c>
      <c r="B41" s="32" t="inlineStr">
        <is>
          <t>MAC-5438</t>
        </is>
      </c>
      <c r="C41" s="32" t="inlineStr">
        <is>
          <t>Laptop</t>
        </is>
      </c>
      <c r="D41" s="32" t="inlineStr">
        <is>
          <t>macOS</t>
        </is>
      </c>
      <c r="E41" s="32" t="inlineStr">
        <is>
          <t>macOS 15 Sequoia</t>
        </is>
      </c>
      <c r="F41" s="32" t="inlineStr">
        <is>
          <t>MacBook Air 13 M2</t>
        </is>
      </c>
      <c r="G41" s="32" t="inlineStr">
        <is>
          <t>SN40942292</t>
        </is>
      </c>
      <c r="H41" s="32" t="inlineStr">
        <is>
          <t>10.17.184.51</t>
        </is>
      </c>
      <c r="I41" s="32" t="inlineStr">
        <is>
          <t>CA:F4:98:33:AB:34</t>
        </is>
      </c>
      <c r="J41" s="32" t="inlineStr">
        <is>
          <t>Sneha Iyer</t>
        </is>
      </c>
      <c r="K41" s="32" t="inlineStr">
        <is>
          <t>Legal</t>
        </is>
      </c>
      <c r="L41" s="32" t="inlineStr">
        <is>
          <t>Delhi NCR</t>
        </is>
      </c>
      <c r="M41" s="32" t="inlineStr">
        <is>
          <t>Retired</t>
        </is>
      </c>
      <c r="N41" s="37" t="n">
        <v>44809</v>
      </c>
      <c r="O41" s="37" t="n">
        <v>45904</v>
      </c>
      <c r="P41" s="32" t="inlineStr">
        <is>
          <t>CrowdStrike Falcon</t>
        </is>
      </c>
      <c r="Q41" s="32" t="inlineStr">
        <is>
          <t>JAMF</t>
        </is>
      </c>
      <c r="R41" s="32" t="inlineStr">
        <is>
          <t>No</t>
        </is>
      </c>
      <c r="S41" s="37" t="n">
        <v>46303</v>
      </c>
    </row>
    <row r="42" ht="15" customHeight="1" s="12">
      <c r="A42" s="32" t="inlineStr">
        <is>
          <t>AST-0041</t>
        </is>
      </c>
      <c r="B42" s="32" t="inlineStr">
        <is>
          <t>LNX-4180</t>
        </is>
      </c>
      <c r="C42" s="32" t="inlineStr">
        <is>
          <t>Laptop</t>
        </is>
      </c>
      <c r="D42" s="32" t="inlineStr">
        <is>
          <t>Linux</t>
        </is>
      </c>
      <c r="E42" s="32" t="inlineStr">
        <is>
          <t>Ubuntu 24.04 LTS</t>
        </is>
      </c>
      <c r="F42" s="32" t="inlineStr">
        <is>
          <t>Dell XPS 15</t>
        </is>
      </c>
      <c r="G42" s="32" t="inlineStr">
        <is>
          <t>SN58436637</t>
        </is>
      </c>
      <c r="H42" s="32" t="inlineStr">
        <is>
          <t>10.21.77.5</t>
        </is>
      </c>
      <c r="I42" s="32" t="inlineStr">
        <is>
          <t>F4:12:15:16:AB:80</t>
        </is>
      </c>
      <c r="J42" s="32" t="inlineStr">
        <is>
          <t>Vikram Rao</t>
        </is>
      </c>
      <c r="K42" s="32" t="inlineStr">
        <is>
          <t>HR</t>
        </is>
      </c>
      <c r="L42" s="32" t="inlineStr">
        <is>
          <t>Remote</t>
        </is>
      </c>
      <c r="M42" s="32" t="inlineStr">
        <is>
          <t>Active</t>
        </is>
      </c>
      <c r="N42" s="37" t="n">
        <v>45669</v>
      </c>
      <c r="O42" s="37" t="n">
        <v>46764</v>
      </c>
      <c r="P42" s="32" t="inlineStr">
        <is>
          <t>CrowdStrike Falcon</t>
        </is>
      </c>
      <c r="Q42" s="32" t="inlineStr">
        <is>
          <t>Ansible</t>
        </is>
      </c>
      <c r="R42" s="32" t="inlineStr">
        <is>
          <t>Yes</t>
        </is>
      </c>
      <c r="S42" s="37" t="n">
        <v>46308</v>
      </c>
    </row>
    <row r="43" ht="15" customHeight="1" s="12">
      <c r="A43" s="32" t="inlineStr">
        <is>
          <t>AST-0042</t>
        </is>
      </c>
      <c r="B43" s="32" t="inlineStr">
        <is>
          <t>LNX-8690</t>
        </is>
      </c>
      <c r="C43" s="32" t="inlineStr">
        <is>
          <t>Laptop</t>
        </is>
      </c>
      <c r="D43" s="32" t="inlineStr">
        <is>
          <t>Linux</t>
        </is>
      </c>
      <c r="E43" s="32" t="inlineStr">
        <is>
          <t>Ubuntu 24.04 LTS</t>
        </is>
      </c>
      <c r="F43" s="32" t="inlineStr">
        <is>
          <t>ThinkPad X1 Carbon</t>
        </is>
      </c>
      <c r="G43" s="32" t="inlineStr">
        <is>
          <t>SN55728776</t>
        </is>
      </c>
      <c r="H43" s="32" t="inlineStr">
        <is>
          <t>10.21.247.15</t>
        </is>
      </c>
      <c r="I43" s="32" t="inlineStr">
        <is>
          <t>2D:AA:61:72:AB:19</t>
        </is>
      </c>
      <c r="J43" s="32" t="inlineStr">
        <is>
          <t>Divya Menon</t>
        </is>
      </c>
      <c r="K43" s="32" t="inlineStr">
        <is>
          <t>Engineering</t>
        </is>
      </c>
      <c r="L43" s="32" t="inlineStr">
        <is>
          <t>Mumbai</t>
        </is>
      </c>
      <c r="M43" s="32" t="inlineStr">
        <is>
          <t>Active</t>
        </is>
      </c>
      <c r="N43" s="37" t="n">
        <v>45073</v>
      </c>
      <c r="O43" s="37" t="n">
        <v>46168</v>
      </c>
      <c r="P43" s="32" t="inlineStr">
        <is>
          <t>Not Installed</t>
        </is>
      </c>
      <c r="Q43" s="32" t="inlineStr">
        <is>
          <t>Ansible</t>
        </is>
      </c>
      <c r="R43" s="32" t="inlineStr">
        <is>
          <t>Yes</t>
        </is>
      </c>
      <c r="S43" s="37" t="n">
        <v>46307</v>
      </c>
    </row>
    <row r="44" ht="15" customHeight="1" s="12">
      <c r="A44" s="32" t="inlineStr">
        <is>
          <t>AST-0043</t>
        </is>
      </c>
      <c r="B44" s="32" t="inlineStr">
        <is>
          <t>LNX-2940</t>
        </is>
      </c>
      <c r="C44" s="32" t="inlineStr">
        <is>
          <t>Laptop</t>
        </is>
      </c>
      <c r="D44" s="32" t="inlineStr">
        <is>
          <t>Linux</t>
        </is>
      </c>
      <c r="E44" s="32" t="inlineStr">
        <is>
          <t>Fedora 40</t>
        </is>
      </c>
      <c r="F44" s="32" t="inlineStr">
        <is>
          <t>ThinkPad X1 Carbon</t>
        </is>
      </c>
      <c r="G44" s="32" t="inlineStr">
        <is>
          <t>SN91378577</t>
        </is>
      </c>
      <c r="H44" s="32" t="inlineStr">
        <is>
          <t>10.48.202.160</t>
        </is>
      </c>
      <c r="I44" s="32" t="inlineStr">
        <is>
          <t>B4:3D:66:48:AB:85</t>
        </is>
      </c>
      <c r="J44" s="32" t="inlineStr">
        <is>
          <t>Karan Shah</t>
        </is>
      </c>
      <c r="K44" s="32" t="inlineStr">
        <is>
          <t>IT Ops</t>
        </is>
      </c>
      <c r="L44" s="32" t="inlineStr">
        <is>
          <t>Pune</t>
        </is>
      </c>
      <c r="M44" s="32" t="inlineStr">
        <is>
          <t>Retired</t>
        </is>
      </c>
      <c r="N44" s="37" t="n">
        <v>46074</v>
      </c>
      <c r="O44" s="37" t="n">
        <v>47169</v>
      </c>
      <c r="P44" s="32" t="inlineStr">
        <is>
          <t>CrowdStrike Falcon</t>
        </is>
      </c>
      <c r="Q44" s="32" t="inlineStr">
        <is>
          <t>Ansible</t>
        </is>
      </c>
      <c r="R44" s="32" t="inlineStr">
        <is>
          <t>No</t>
        </is>
      </c>
      <c r="S44" s="37" t="n">
        <v>46307</v>
      </c>
    </row>
    <row r="45" ht="15" customHeight="1" s="12">
      <c r="A45" s="32" t="inlineStr">
        <is>
          <t>AST-0044</t>
        </is>
      </c>
      <c r="B45" s="32" t="inlineStr">
        <is>
          <t>LNX-4457</t>
        </is>
      </c>
      <c r="C45" s="32" t="inlineStr">
        <is>
          <t>Laptop</t>
        </is>
      </c>
      <c r="D45" s="32" t="inlineStr">
        <is>
          <t>Linux</t>
        </is>
      </c>
      <c r="E45" s="32" t="inlineStr">
        <is>
          <t>Ubuntu 24.04 LTS</t>
        </is>
      </c>
      <c r="F45" s="32" t="inlineStr">
        <is>
          <t>System76 Lemur Pro</t>
        </is>
      </c>
      <c r="G45" s="32" t="inlineStr">
        <is>
          <t>SN20896797</t>
        </is>
      </c>
      <c r="H45" s="32" t="inlineStr">
        <is>
          <t>10.20.61.46</t>
        </is>
      </c>
      <c r="I45" s="32" t="inlineStr">
        <is>
          <t>4A:10:62:67:AB:98</t>
        </is>
      </c>
      <c r="J45" s="32" t="inlineStr">
        <is>
          <t>Divya Menon</t>
        </is>
      </c>
      <c r="K45" s="32" t="inlineStr">
        <is>
          <t>Legal</t>
        </is>
      </c>
      <c r="L45" s="32" t="inlineStr">
        <is>
          <t>Delhi NCR</t>
        </is>
      </c>
      <c r="M45" s="32" t="inlineStr">
        <is>
          <t>Active</t>
        </is>
      </c>
      <c r="N45" s="37" t="n">
        <v>46045</v>
      </c>
      <c r="O45" s="37" t="n">
        <v>47140</v>
      </c>
      <c r="P45" s="32" t="inlineStr">
        <is>
          <t>CrowdStrike Falcon</t>
        </is>
      </c>
      <c r="Q45" s="32" t="inlineStr">
        <is>
          <t>Ansible</t>
        </is>
      </c>
      <c r="R45" s="32" t="inlineStr">
        <is>
          <t>Yes</t>
        </is>
      </c>
      <c r="S45" s="37" t="n">
        <v>46307</v>
      </c>
    </row>
    <row r="46" ht="15" customHeight="1" s="12">
      <c r="A46" s="32" t="inlineStr">
        <is>
          <t>AST-0045</t>
        </is>
      </c>
      <c r="B46" s="32" t="inlineStr">
        <is>
          <t>LNX-8438</t>
        </is>
      </c>
      <c r="C46" s="32" t="inlineStr">
        <is>
          <t>Laptop</t>
        </is>
      </c>
      <c r="D46" s="32" t="inlineStr">
        <is>
          <t>Linux</t>
        </is>
      </c>
      <c r="E46" s="32" t="inlineStr">
        <is>
          <t>Ubuntu 22.04 LTS</t>
        </is>
      </c>
      <c r="F46" s="32" t="inlineStr">
        <is>
          <t>System76 Lemur Pro</t>
        </is>
      </c>
      <c r="G46" s="32" t="inlineStr">
        <is>
          <t>SN41329612</t>
        </is>
      </c>
      <c r="H46" s="32" t="inlineStr">
        <is>
          <t>10.26.201.204</t>
        </is>
      </c>
      <c r="I46" s="32" t="inlineStr">
        <is>
          <t>5E:5B:64:24:AB:79</t>
        </is>
      </c>
      <c r="J46" s="32" t="inlineStr">
        <is>
          <t>Sneha Iyer</t>
        </is>
      </c>
      <c r="K46" s="32" t="inlineStr">
        <is>
          <t>HR</t>
        </is>
      </c>
      <c r="L46" s="32" t="inlineStr">
        <is>
          <t>Delhi NCR</t>
        </is>
      </c>
      <c r="M46" s="32" t="inlineStr">
        <is>
          <t>Active</t>
        </is>
      </c>
      <c r="N46" s="37" t="n">
        <v>45669</v>
      </c>
      <c r="O46" s="37" t="n">
        <v>46764</v>
      </c>
      <c r="P46" s="32" t="inlineStr">
        <is>
          <t>CrowdStrike Falcon</t>
        </is>
      </c>
      <c r="Q46" s="32" t="inlineStr">
        <is>
          <t>Ansible</t>
        </is>
      </c>
      <c r="R46" s="32" t="inlineStr">
        <is>
          <t>Yes</t>
        </is>
      </c>
      <c r="S46" s="37" t="n">
        <v>46248</v>
      </c>
    </row>
    <row r="47" ht="15" customHeight="1" s="12">
      <c r="A47" s="32" t="inlineStr">
        <is>
          <t>AST-0046</t>
        </is>
      </c>
      <c r="B47" s="32" t="inlineStr">
        <is>
          <t>LNX-5728</t>
        </is>
      </c>
      <c r="C47" s="32" t="inlineStr">
        <is>
          <t>Laptop</t>
        </is>
      </c>
      <c r="D47" s="32" t="inlineStr">
        <is>
          <t>Linux</t>
        </is>
      </c>
      <c r="E47" s="32" t="inlineStr">
        <is>
          <t>Ubuntu 24.04 LTS</t>
        </is>
      </c>
      <c r="F47" s="32" t="inlineStr">
        <is>
          <t>Dell XPS 15</t>
        </is>
      </c>
      <c r="G47" s="32" t="inlineStr">
        <is>
          <t>SN72907576</t>
        </is>
      </c>
      <c r="H47" s="32" t="inlineStr">
        <is>
          <t>10.54.77.181</t>
        </is>
      </c>
      <c r="I47" s="32" t="inlineStr">
        <is>
          <t>32:44:73:66:AB:20</t>
        </is>
      </c>
      <c r="J47" s="32" t="inlineStr">
        <is>
          <t>Divya Menon</t>
        </is>
      </c>
      <c r="K47" s="32" t="inlineStr">
        <is>
          <t>Engineering</t>
        </is>
      </c>
      <c r="L47" s="32" t="inlineStr">
        <is>
          <t>Hyderabad</t>
        </is>
      </c>
      <c r="M47" s="32" t="inlineStr">
        <is>
          <t>Active</t>
        </is>
      </c>
      <c r="N47" s="37" t="n">
        <v>45909</v>
      </c>
      <c r="O47" s="37" t="n">
        <v>47004</v>
      </c>
      <c r="P47" s="32" t="inlineStr">
        <is>
          <t>Not Installed</t>
        </is>
      </c>
      <c r="Q47" s="32" t="inlineStr">
        <is>
          <t>Ansible</t>
        </is>
      </c>
      <c r="R47" s="32" t="inlineStr">
        <is>
          <t>Yes</t>
        </is>
      </c>
      <c r="S47" s="37" t="n">
        <v>46307</v>
      </c>
    </row>
  </sheetData>
  <autoFilter ref="A1:S4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7" min="1" max="1"/>
    <col width="16" customWidth="1" style="27" min="2" max="2"/>
    <col width="22" customWidth="1" style="27" min="3" max="3"/>
    <col width="15" customWidth="1" style="27" min="4" max="4"/>
    <col width="22" customWidth="1" style="27" min="5" max="6"/>
    <col width="12" customWidth="1" style="27" min="7" max="7"/>
    <col width="7" customWidth="1" style="27" min="8" max="8"/>
    <col width="9" customWidth="1" style="27" min="9" max="9"/>
    <col width="15" customWidth="1" style="27" min="10" max="10"/>
    <col width="20" customWidth="1" style="27" min="11" max="11"/>
    <col width="13" customWidth="1" style="27" min="12" max="12"/>
    <col width="15" customWidth="1" style="27" min="13" max="13"/>
    <col width="10" customWidth="1" style="27" min="14" max="14"/>
    <col width="13" customWidth="1" style="27" min="15" max="16"/>
    <col width="19" customWidth="1" style="27" min="17" max="17"/>
    <col width="11" customWidth="1" style="27" min="18" max="18"/>
    <col width="15" customWidth="1" style="27" min="19" max="19"/>
  </cols>
  <sheetData>
    <row r="1" ht="23.85" customHeight="1" s="12">
      <c r="A1" s="38" t="inlineStr">
        <is>
          <t>Asset ID</t>
        </is>
      </c>
      <c r="B1" s="38" t="inlineStr">
        <is>
          <t>Hostname</t>
        </is>
      </c>
      <c r="C1" s="38" t="inlineStr">
        <is>
          <t>Role</t>
        </is>
      </c>
      <c r="D1" s="38" t="inlineStr">
        <is>
          <t>OS Family</t>
        </is>
      </c>
      <c r="E1" s="38" t="inlineStr">
        <is>
          <t>OS Version</t>
        </is>
      </c>
      <c r="F1" s="38" t="inlineStr">
        <is>
          <t>Platform</t>
        </is>
      </c>
      <c r="G1" s="38" t="inlineStr">
        <is>
          <t>Environment</t>
        </is>
      </c>
      <c r="H1" s="38" t="inlineStr">
        <is>
          <t>vCPU</t>
        </is>
      </c>
      <c r="I1" s="38" t="inlineStr">
        <is>
          <t>RAM (GB)</t>
        </is>
      </c>
      <c r="J1" s="38" t="inlineStr">
        <is>
          <t>IP Address</t>
        </is>
      </c>
      <c r="K1" s="38" t="inlineStr">
        <is>
          <t>Data Center / Region</t>
        </is>
      </c>
      <c r="L1" s="38" t="inlineStr">
        <is>
          <t>Owning Team</t>
        </is>
      </c>
      <c r="M1" s="38" t="inlineStr">
        <is>
          <t>Owner</t>
        </is>
      </c>
      <c r="N1" s="38" t="inlineStr">
        <is>
          <t>Criticality</t>
        </is>
      </c>
      <c r="O1" s="38" t="inlineStr">
        <is>
          <t>Patch Cadence</t>
        </is>
      </c>
      <c r="P1" s="38" t="inlineStr">
        <is>
          <t>Last Patched</t>
        </is>
      </c>
      <c r="Q1" s="38" t="inlineStr">
        <is>
          <t>EDR Agent</t>
        </is>
      </c>
      <c r="R1" s="38" t="inlineStr">
        <is>
          <t>Backup</t>
        </is>
      </c>
      <c r="S1" s="38" t="inlineStr">
        <is>
          <t>Status</t>
        </is>
      </c>
    </row>
    <row r="2" ht="15" customHeight="1" s="12">
      <c r="A2" s="32" t="inlineStr">
        <is>
          <t>SRV-0001</t>
        </is>
      </c>
      <c r="B2" s="32" t="inlineStr">
        <is>
          <t>WSRV-PRO-12</t>
        </is>
      </c>
      <c r="C2" s="32" t="inlineStr">
        <is>
          <t>File Server</t>
        </is>
      </c>
      <c r="D2" s="32" t="inlineStr">
        <is>
          <t>Windows Server</t>
        </is>
      </c>
      <c r="E2" s="32" t="inlineStr">
        <is>
          <t>Windows Server 2016</t>
        </is>
      </c>
      <c r="F2" s="32" t="inlineStr">
        <is>
          <t>Physical - HPE DL380</t>
        </is>
      </c>
      <c r="G2" s="32" t="inlineStr">
        <is>
          <t>Production</t>
        </is>
      </c>
      <c r="H2" s="32" t="n">
        <v>64</v>
      </c>
      <c r="I2" s="32" t="n">
        <v>16</v>
      </c>
      <c r="J2" s="32" t="inlineStr">
        <is>
          <t>10.124.172.212</t>
        </is>
      </c>
      <c r="K2" s="32" t="inlineStr">
        <is>
          <t>AWS ap-south-1</t>
        </is>
      </c>
      <c r="L2" s="32" t="inlineStr">
        <is>
          <t>IT Ops</t>
        </is>
      </c>
      <c r="M2" s="32" t="inlineStr">
        <is>
          <t>Rohan Gupta</t>
        </is>
      </c>
      <c r="N2" s="32" t="inlineStr">
        <is>
          <t>Tier 2</t>
        </is>
      </c>
      <c r="O2" s="32" t="inlineStr">
        <is>
          <t>Not Patched</t>
        </is>
      </c>
      <c r="P2" s="37" t="n">
        <v>46224</v>
      </c>
      <c r="Q2" s="32" t="inlineStr">
        <is>
          <t>CrowdStrike Falcon</t>
        </is>
      </c>
      <c r="R2" s="32" t="inlineStr">
        <is>
          <t>Commvault</t>
        </is>
      </c>
      <c r="S2" s="32" t="inlineStr">
        <is>
          <t>Active</t>
        </is>
      </c>
    </row>
    <row r="3" ht="15" customHeight="1" s="12">
      <c r="A3" s="32" t="inlineStr">
        <is>
          <t>SRV-0002</t>
        </is>
      </c>
      <c r="B3" s="32" t="inlineStr">
        <is>
          <t>WSRV-DEV-82</t>
        </is>
      </c>
      <c r="C3" s="32" t="inlineStr">
        <is>
          <t>IIS Web Server</t>
        </is>
      </c>
      <c r="D3" s="32" t="inlineStr">
        <is>
          <t>Windows Server</t>
        </is>
      </c>
      <c r="E3" s="32" t="inlineStr">
        <is>
          <t>Windows Server 2019</t>
        </is>
      </c>
      <c r="F3" s="32" t="inlineStr">
        <is>
          <t>Physical - Dell R750</t>
        </is>
      </c>
      <c r="G3" s="32" t="inlineStr">
        <is>
          <t>Dev</t>
        </is>
      </c>
      <c r="H3" s="32" t="n">
        <v>16</v>
      </c>
      <c r="I3" s="32" t="n">
        <v>128</v>
      </c>
      <c r="J3" s="32" t="inlineStr">
        <is>
          <t>10.110.82.173</t>
        </is>
      </c>
      <c r="K3" s="32" t="inlineStr">
        <is>
          <t>Bengaluru DC</t>
        </is>
      </c>
      <c r="L3" s="32" t="inlineStr">
        <is>
          <t>Engineering</t>
        </is>
      </c>
      <c r="M3" s="32" t="inlineStr">
        <is>
          <t>Anita Das</t>
        </is>
      </c>
      <c r="N3" s="32" t="inlineStr">
        <is>
          <t>Tier 2</t>
        </is>
      </c>
      <c r="O3" s="32" t="inlineStr">
        <is>
          <t>Quarterly</t>
        </is>
      </c>
      <c r="P3" s="37" t="n">
        <v>46271</v>
      </c>
      <c r="Q3" s="32" t="inlineStr">
        <is>
          <t>CrowdStrike Falcon</t>
        </is>
      </c>
      <c r="R3" s="32" t="inlineStr">
        <is>
          <t>Veeam</t>
        </is>
      </c>
      <c r="S3" s="32" t="inlineStr">
        <is>
          <t>Active</t>
        </is>
      </c>
    </row>
    <row r="4" ht="15" customHeight="1" s="12">
      <c r="A4" s="32" t="inlineStr">
        <is>
          <t>SRV-0003</t>
        </is>
      </c>
      <c r="B4" s="32" t="inlineStr">
        <is>
          <t>WSRV-PRO-41</t>
        </is>
      </c>
      <c r="C4" s="32" t="inlineStr">
        <is>
          <t>SQL Server</t>
        </is>
      </c>
      <c r="D4" s="32" t="inlineStr">
        <is>
          <t>Windows Server</t>
        </is>
      </c>
      <c r="E4" s="32" t="inlineStr">
        <is>
          <t>Windows Server 2022</t>
        </is>
      </c>
      <c r="F4" s="32" t="inlineStr">
        <is>
          <t>VMware VM</t>
        </is>
      </c>
      <c r="G4" s="32" t="inlineStr">
        <is>
          <t>Production</t>
        </is>
      </c>
      <c r="H4" s="32" t="n">
        <v>32</v>
      </c>
      <c r="I4" s="32" t="n">
        <v>256</v>
      </c>
      <c r="J4" s="32" t="inlineStr">
        <is>
          <t>10.126.252.2</t>
        </is>
      </c>
      <c r="K4" s="32" t="inlineStr">
        <is>
          <t>Azure Central India</t>
        </is>
      </c>
      <c r="L4" s="32" t="inlineStr">
        <is>
          <t>Finance</t>
        </is>
      </c>
      <c r="M4" s="32" t="inlineStr">
        <is>
          <t>Aarav Mehta</t>
        </is>
      </c>
      <c r="N4" s="32" t="inlineStr">
        <is>
          <t>Tier 1</t>
        </is>
      </c>
      <c r="O4" s="32" t="inlineStr">
        <is>
          <t>Not Patched</t>
        </is>
      </c>
      <c r="P4" s="37" t="n">
        <v>46261</v>
      </c>
      <c r="Q4" s="32" t="inlineStr">
        <is>
          <t>Not Installed</t>
        </is>
      </c>
      <c r="R4" s="32" t="inlineStr">
        <is>
          <t>None</t>
        </is>
      </c>
      <c r="S4" s="32" t="inlineStr">
        <is>
          <t>Active</t>
        </is>
      </c>
    </row>
    <row r="5" ht="15" customHeight="1" s="12">
      <c r="A5" s="32" t="inlineStr">
        <is>
          <t>SRV-0004</t>
        </is>
      </c>
      <c r="B5" s="32" t="inlineStr">
        <is>
          <t>WSRV-PRO-27</t>
        </is>
      </c>
      <c r="C5" s="32" t="inlineStr">
        <is>
          <t>SQL Server</t>
        </is>
      </c>
      <c r="D5" s="32" t="inlineStr">
        <is>
          <t>Windows Server</t>
        </is>
      </c>
      <c r="E5" s="32" t="inlineStr">
        <is>
          <t>Windows Server 2016</t>
        </is>
      </c>
      <c r="F5" s="32" t="inlineStr">
        <is>
          <t>AWS EC2</t>
        </is>
      </c>
      <c r="G5" s="32" t="inlineStr">
        <is>
          <t>Production</t>
        </is>
      </c>
      <c r="H5" s="32" t="n">
        <v>16</v>
      </c>
      <c r="I5" s="32" t="n">
        <v>128</v>
      </c>
      <c r="J5" s="32" t="inlineStr">
        <is>
          <t>10.128.178.126</t>
        </is>
      </c>
      <c r="K5" s="32" t="inlineStr">
        <is>
          <t>Bengaluru DC</t>
        </is>
      </c>
      <c r="L5" s="32" t="inlineStr">
        <is>
          <t>IT Ops</t>
        </is>
      </c>
      <c r="M5" s="32" t="inlineStr">
        <is>
          <t>Divya Menon</t>
        </is>
      </c>
      <c r="N5" s="32" t="inlineStr">
        <is>
          <t>Tier 1</t>
        </is>
      </c>
      <c r="O5" s="32" t="inlineStr">
        <is>
          <t>Monthly</t>
        </is>
      </c>
      <c r="P5" s="37" t="n">
        <v>46268</v>
      </c>
      <c r="Q5" s="32" t="inlineStr">
        <is>
          <t>CrowdStrike Falcon</t>
        </is>
      </c>
      <c r="R5" s="32" t="inlineStr">
        <is>
          <t>Veeam</t>
        </is>
      </c>
      <c r="S5" s="32" t="inlineStr">
        <is>
          <t>Active</t>
        </is>
      </c>
    </row>
    <row r="6" ht="15" customHeight="1" s="12">
      <c r="A6" s="32" t="inlineStr">
        <is>
          <t>SRV-0005</t>
        </is>
      </c>
      <c r="B6" s="32" t="inlineStr">
        <is>
          <t>WSRV-DEV-12</t>
        </is>
      </c>
      <c r="C6" s="32" t="inlineStr">
        <is>
          <t>File Server</t>
        </is>
      </c>
      <c r="D6" s="32" t="inlineStr">
        <is>
          <t>Windows Server</t>
        </is>
      </c>
      <c r="E6" s="32" t="inlineStr">
        <is>
          <t>Windows Server 2019</t>
        </is>
      </c>
      <c r="F6" s="32" t="inlineStr">
        <is>
          <t>Physical - Dell R750</t>
        </is>
      </c>
      <c r="G6" s="32" t="inlineStr">
        <is>
          <t>Dev</t>
        </is>
      </c>
      <c r="H6" s="32" t="n">
        <v>4</v>
      </c>
      <c r="I6" s="32" t="n">
        <v>32</v>
      </c>
      <c r="J6" s="32" t="inlineStr">
        <is>
          <t>10.115.238.185</t>
        </is>
      </c>
      <c r="K6" s="32" t="inlineStr">
        <is>
          <t>AWS ap-south-1</t>
        </is>
      </c>
      <c r="L6" s="32" t="inlineStr">
        <is>
          <t>Security</t>
        </is>
      </c>
      <c r="M6" s="32" t="inlineStr">
        <is>
          <t>Karan Shah</t>
        </is>
      </c>
      <c r="N6" s="32" t="inlineStr">
        <is>
          <t>Tier 2</t>
        </is>
      </c>
      <c r="O6" s="32" t="inlineStr">
        <is>
          <t>Quarterly</t>
        </is>
      </c>
      <c r="P6" s="37" t="n">
        <v>46276</v>
      </c>
      <c r="Q6" s="32" t="inlineStr">
        <is>
          <t>CrowdStrike Falcon</t>
        </is>
      </c>
      <c r="R6" s="32" t="inlineStr">
        <is>
          <t>Veeam</t>
        </is>
      </c>
      <c r="S6" s="32" t="inlineStr">
        <is>
          <t>Active</t>
        </is>
      </c>
    </row>
    <row r="7" ht="15" customHeight="1" s="12">
      <c r="A7" s="32" t="inlineStr">
        <is>
          <t>SRV-0006</t>
        </is>
      </c>
      <c r="B7" s="32" t="inlineStr">
        <is>
          <t>WSRV-PRO-77</t>
        </is>
      </c>
      <c r="C7" s="32" t="inlineStr">
        <is>
          <t>Print Server</t>
        </is>
      </c>
      <c r="D7" s="32" t="inlineStr">
        <is>
          <t>Windows Server</t>
        </is>
      </c>
      <c r="E7" s="32" t="inlineStr">
        <is>
          <t>Windows Server 2016</t>
        </is>
      </c>
      <c r="F7" s="32" t="inlineStr">
        <is>
          <t>AWS EC2</t>
        </is>
      </c>
      <c r="G7" s="32" t="inlineStr">
        <is>
          <t>Production</t>
        </is>
      </c>
      <c r="H7" s="32" t="n">
        <v>4</v>
      </c>
      <c r="I7" s="32" t="n">
        <v>64</v>
      </c>
      <c r="J7" s="32" t="inlineStr">
        <is>
          <t>10.124.202.220</t>
        </is>
      </c>
      <c r="K7" s="32" t="inlineStr">
        <is>
          <t>Azure Central India</t>
        </is>
      </c>
      <c r="L7" s="32" t="inlineStr">
        <is>
          <t>Security</t>
        </is>
      </c>
      <c r="M7" s="32" t="inlineStr">
        <is>
          <t>Imran Khan</t>
        </is>
      </c>
      <c r="N7" s="32" t="inlineStr">
        <is>
          <t>Tier 1</t>
        </is>
      </c>
      <c r="O7" s="32" t="inlineStr">
        <is>
          <t>Monthly</t>
        </is>
      </c>
      <c r="P7" s="37" t="n">
        <v>46271</v>
      </c>
      <c r="Q7" s="32" t="inlineStr">
        <is>
          <t>CrowdStrike Falcon</t>
        </is>
      </c>
      <c r="R7" s="32" t="inlineStr">
        <is>
          <t>None</t>
        </is>
      </c>
      <c r="S7" s="32" t="inlineStr">
        <is>
          <t>Active</t>
        </is>
      </c>
    </row>
    <row r="8" ht="15" customHeight="1" s="12">
      <c r="A8" s="32" t="inlineStr">
        <is>
          <t>SRV-0007</t>
        </is>
      </c>
      <c r="B8" s="32" t="inlineStr">
        <is>
          <t>WSRV-DEV-69</t>
        </is>
      </c>
      <c r="C8" s="32" t="inlineStr">
        <is>
          <t>IIS Web Server</t>
        </is>
      </c>
      <c r="D8" s="32" t="inlineStr">
        <is>
          <t>Windows Server</t>
        </is>
      </c>
      <c r="E8" s="32" t="inlineStr">
        <is>
          <t>Windows Server 2022</t>
        </is>
      </c>
      <c r="F8" s="32" t="inlineStr">
        <is>
          <t>Azure VM</t>
        </is>
      </c>
      <c r="G8" s="32" t="inlineStr">
        <is>
          <t>Dev</t>
        </is>
      </c>
      <c r="H8" s="32" t="n">
        <v>64</v>
      </c>
      <c r="I8" s="32" t="n">
        <v>256</v>
      </c>
      <c r="J8" s="32" t="inlineStr">
        <is>
          <t>10.112.116.240</t>
        </is>
      </c>
      <c r="K8" s="32" t="inlineStr">
        <is>
          <t>AWS ap-south-1</t>
        </is>
      </c>
      <c r="L8" s="32" t="inlineStr">
        <is>
          <t>Engineering</t>
        </is>
      </c>
      <c r="M8" s="32" t="inlineStr">
        <is>
          <t>Sneha Iyer</t>
        </is>
      </c>
      <c r="N8" s="32" t="inlineStr">
        <is>
          <t>Tier 3</t>
        </is>
      </c>
      <c r="O8" s="32" t="inlineStr">
        <is>
          <t>Quarterly</t>
        </is>
      </c>
      <c r="P8" s="37" t="n">
        <v>46278</v>
      </c>
      <c r="Q8" s="32" t="inlineStr">
        <is>
          <t>CrowdStrike Falcon</t>
        </is>
      </c>
      <c r="R8" s="32" t="inlineStr">
        <is>
          <t>Veeam</t>
        </is>
      </c>
      <c r="S8" s="32" t="inlineStr">
        <is>
          <t>Active</t>
        </is>
      </c>
    </row>
    <row r="9" ht="15" customHeight="1" s="12">
      <c r="A9" s="32" t="inlineStr">
        <is>
          <t>SRV-0008</t>
        </is>
      </c>
      <c r="B9" s="32" t="inlineStr">
        <is>
          <t>WSRV-DEV-91</t>
        </is>
      </c>
      <c r="C9" s="32" t="inlineStr">
        <is>
          <t>IIS Web Server</t>
        </is>
      </c>
      <c r="D9" s="32" t="inlineStr">
        <is>
          <t>Windows Server</t>
        </is>
      </c>
      <c r="E9" s="32" t="inlineStr">
        <is>
          <t>Windows Server 2022</t>
        </is>
      </c>
      <c r="F9" s="32" t="inlineStr">
        <is>
          <t>AWS EC2</t>
        </is>
      </c>
      <c r="G9" s="32" t="inlineStr">
        <is>
          <t>Dev</t>
        </is>
      </c>
      <c r="H9" s="32" t="n">
        <v>32</v>
      </c>
      <c r="I9" s="32" t="n">
        <v>16</v>
      </c>
      <c r="J9" s="32" t="inlineStr">
        <is>
          <t>10.104.128.249</t>
        </is>
      </c>
      <c r="K9" s="32" t="inlineStr">
        <is>
          <t>AWS ap-south-1</t>
        </is>
      </c>
      <c r="L9" s="32" t="inlineStr">
        <is>
          <t>IT Ops</t>
        </is>
      </c>
      <c r="M9" s="32" t="inlineStr">
        <is>
          <t>Meera Pillai</t>
        </is>
      </c>
      <c r="N9" s="32" t="inlineStr">
        <is>
          <t>Tier 0</t>
        </is>
      </c>
      <c r="O9" s="32" t="inlineStr">
        <is>
          <t>Not Patched</t>
        </is>
      </c>
      <c r="P9" s="37" t="n">
        <v>46191</v>
      </c>
      <c r="Q9" s="32" t="inlineStr">
        <is>
          <t>CrowdStrike Falcon</t>
        </is>
      </c>
      <c r="R9" s="32" t="inlineStr">
        <is>
          <t>Veeam</t>
        </is>
      </c>
      <c r="S9" s="32" t="inlineStr">
        <is>
          <t>Active</t>
        </is>
      </c>
    </row>
    <row r="10" ht="15" customHeight="1" s="12">
      <c r="A10" s="32" t="inlineStr">
        <is>
          <t>SRV-0009</t>
        </is>
      </c>
      <c r="B10" s="32" t="inlineStr">
        <is>
          <t>WSRV-DEV-84</t>
        </is>
      </c>
      <c r="C10" s="32" t="inlineStr">
        <is>
          <t>File Server</t>
        </is>
      </c>
      <c r="D10" s="32" t="inlineStr">
        <is>
          <t>Windows Server</t>
        </is>
      </c>
      <c r="E10" s="32" t="inlineStr">
        <is>
          <t>Windows Server 2019</t>
        </is>
      </c>
      <c r="F10" s="32" t="inlineStr">
        <is>
          <t>Physical - Dell R750</t>
        </is>
      </c>
      <c r="G10" s="32" t="inlineStr">
        <is>
          <t>Dev</t>
        </is>
      </c>
      <c r="H10" s="32" t="n">
        <v>16</v>
      </c>
      <c r="I10" s="32" t="n">
        <v>64</v>
      </c>
      <c r="J10" s="32" t="inlineStr">
        <is>
          <t>10.119.177.103</t>
        </is>
      </c>
      <c r="K10" s="32" t="inlineStr">
        <is>
          <t>Bengaluru DC</t>
        </is>
      </c>
      <c r="L10" s="32" t="inlineStr">
        <is>
          <t>Security</t>
        </is>
      </c>
      <c r="M10" s="32" t="inlineStr">
        <is>
          <t>Imran Khan</t>
        </is>
      </c>
      <c r="N10" s="32" t="inlineStr">
        <is>
          <t>Tier 2</t>
        </is>
      </c>
      <c r="O10" s="32" t="inlineStr">
        <is>
          <t>Weekly</t>
        </is>
      </c>
      <c r="P10" s="37" t="n">
        <v>46227</v>
      </c>
      <c r="Q10" s="32" t="inlineStr">
        <is>
          <t>CrowdStrike Falcon</t>
        </is>
      </c>
      <c r="R10" s="32" t="inlineStr">
        <is>
          <t>Veeam</t>
        </is>
      </c>
      <c r="S10" s="32" t="inlineStr">
        <is>
          <t>Decommissioning</t>
        </is>
      </c>
    </row>
    <row r="11" ht="15" customHeight="1" s="12">
      <c r="A11" s="32" t="inlineStr">
        <is>
          <t>SRV-0010</t>
        </is>
      </c>
      <c r="B11" s="32" t="inlineStr">
        <is>
          <t>WSRV-PRO-31</t>
        </is>
      </c>
      <c r="C11" s="32" t="inlineStr">
        <is>
          <t>SQL Server</t>
        </is>
      </c>
      <c r="D11" s="32" t="inlineStr">
        <is>
          <t>Windows Server</t>
        </is>
      </c>
      <c r="E11" s="32" t="inlineStr">
        <is>
          <t>Windows Server 2019</t>
        </is>
      </c>
      <c r="F11" s="32" t="inlineStr">
        <is>
          <t>VMware VM</t>
        </is>
      </c>
      <c r="G11" s="32" t="inlineStr">
        <is>
          <t>Production</t>
        </is>
      </c>
      <c r="H11" s="32" t="n">
        <v>32</v>
      </c>
      <c r="I11" s="32" t="n">
        <v>16</v>
      </c>
      <c r="J11" s="32" t="inlineStr">
        <is>
          <t>10.124.162.182</t>
        </is>
      </c>
      <c r="K11" s="32" t="inlineStr">
        <is>
          <t>Bengaluru DC</t>
        </is>
      </c>
      <c r="L11" s="32" t="inlineStr">
        <is>
          <t>Finance</t>
        </is>
      </c>
      <c r="M11" s="32" t="inlineStr">
        <is>
          <t>Rohan Gupta</t>
        </is>
      </c>
      <c r="N11" s="32" t="inlineStr">
        <is>
          <t>Tier 1</t>
        </is>
      </c>
      <c r="O11" s="32" t="inlineStr">
        <is>
          <t>Monthly</t>
        </is>
      </c>
      <c r="P11" s="37" t="n">
        <v>46302</v>
      </c>
      <c r="Q11" s="32" t="inlineStr">
        <is>
          <t>CrowdStrike Falcon</t>
        </is>
      </c>
      <c r="R11" s="32" t="inlineStr">
        <is>
          <t>Veeam</t>
        </is>
      </c>
      <c r="S11" s="32" t="inlineStr">
        <is>
          <t>Active</t>
        </is>
      </c>
    </row>
    <row r="12" ht="15" customHeight="1" s="12">
      <c r="A12" s="32" t="inlineStr">
        <is>
          <t>SRV-0011</t>
        </is>
      </c>
      <c r="B12" s="32" t="inlineStr">
        <is>
          <t>LSRV-UAT-48</t>
        </is>
      </c>
      <c r="C12" s="32" t="inlineStr">
        <is>
          <t>Kubernetes Node</t>
        </is>
      </c>
      <c r="D12" s="32" t="inlineStr">
        <is>
          <t>Linux</t>
        </is>
      </c>
      <c r="E12" s="32" t="inlineStr">
        <is>
          <t>RHEL 9</t>
        </is>
      </c>
      <c r="F12" s="32" t="inlineStr">
        <is>
          <t>AWS EC2</t>
        </is>
      </c>
      <c r="G12" s="32" t="inlineStr">
        <is>
          <t>UAT</t>
        </is>
      </c>
      <c r="H12" s="32" t="n">
        <v>64</v>
      </c>
      <c r="I12" s="32" t="n">
        <v>128</v>
      </c>
      <c r="J12" s="32" t="inlineStr">
        <is>
          <t>10.118.174.204</t>
        </is>
      </c>
      <c r="K12" s="32" t="inlineStr">
        <is>
          <t>Mumbai DC</t>
        </is>
      </c>
      <c r="L12" s="32" t="inlineStr">
        <is>
          <t>Engineering</t>
        </is>
      </c>
      <c r="M12" s="32" t="inlineStr">
        <is>
          <t>Rohan Gupta</t>
        </is>
      </c>
      <c r="N12" s="32" t="inlineStr">
        <is>
          <t>Tier 0</t>
        </is>
      </c>
      <c r="O12" s="32" t="inlineStr">
        <is>
          <t>Not Patched</t>
        </is>
      </c>
      <c r="P12" s="37" t="n">
        <v>46196</v>
      </c>
      <c r="Q12" s="32" t="inlineStr">
        <is>
          <t>CrowdStrike Falcon</t>
        </is>
      </c>
      <c r="R12" s="32" t="inlineStr">
        <is>
          <t>Veeam</t>
        </is>
      </c>
      <c r="S12" s="32" t="inlineStr">
        <is>
          <t>Active</t>
        </is>
      </c>
    </row>
    <row r="13" ht="15" customHeight="1" s="12">
      <c r="A13" s="32" t="inlineStr">
        <is>
          <t>SRV-0012</t>
        </is>
      </c>
      <c r="B13" s="32" t="inlineStr">
        <is>
          <t>LSRV-PRO-30</t>
        </is>
      </c>
      <c r="C13" s="32" t="inlineStr">
        <is>
          <t>Kubernetes Node</t>
        </is>
      </c>
      <c r="D13" s="32" t="inlineStr">
        <is>
          <t>Linux</t>
        </is>
      </c>
      <c r="E13" s="32" t="inlineStr">
        <is>
          <t>Ubuntu 22.04 LTS</t>
        </is>
      </c>
      <c r="F13" s="32" t="inlineStr">
        <is>
          <t>Physical - Dell R750</t>
        </is>
      </c>
      <c r="G13" s="32" t="inlineStr">
        <is>
          <t>Production</t>
        </is>
      </c>
      <c r="H13" s="32" t="n">
        <v>16</v>
      </c>
      <c r="I13" s="32" t="n">
        <v>16</v>
      </c>
      <c r="J13" s="32" t="inlineStr">
        <is>
          <t>10.128.205.121</t>
        </is>
      </c>
      <c r="K13" s="32" t="inlineStr">
        <is>
          <t>AWS ap-south-1</t>
        </is>
      </c>
      <c r="L13" s="32" t="inlineStr">
        <is>
          <t>Engineering</t>
        </is>
      </c>
      <c r="M13" s="32" t="inlineStr">
        <is>
          <t>Priya Nair</t>
        </is>
      </c>
      <c r="N13" s="32" t="inlineStr">
        <is>
          <t>Tier 2</t>
        </is>
      </c>
      <c r="O13" s="32" t="inlineStr">
        <is>
          <t>Weekly</t>
        </is>
      </c>
      <c r="P13" s="37" t="n">
        <v>46232</v>
      </c>
      <c r="Q13" s="32" t="inlineStr">
        <is>
          <t>CrowdStrike Falcon</t>
        </is>
      </c>
      <c r="R13" s="32" t="inlineStr">
        <is>
          <t>None</t>
        </is>
      </c>
      <c r="S13" s="32" t="inlineStr">
        <is>
          <t>Active</t>
        </is>
      </c>
    </row>
    <row r="14" ht="15" customHeight="1" s="12">
      <c r="A14" s="32" t="inlineStr">
        <is>
          <t>SRV-0013</t>
        </is>
      </c>
      <c r="B14" s="32" t="inlineStr">
        <is>
          <t>LSRV-DEV-39</t>
        </is>
      </c>
      <c r="C14" s="32" t="inlineStr">
        <is>
          <t>App Server</t>
        </is>
      </c>
      <c r="D14" s="32" t="inlineStr">
        <is>
          <t>Linux</t>
        </is>
      </c>
      <c r="E14" s="32" t="inlineStr">
        <is>
          <t>Rocky Linux 9</t>
        </is>
      </c>
      <c r="F14" s="32" t="inlineStr">
        <is>
          <t>Physical - Dell R750</t>
        </is>
      </c>
      <c r="G14" s="32" t="inlineStr">
        <is>
          <t>Dev</t>
        </is>
      </c>
      <c r="H14" s="32" t="n">
        <v>4</v>
      </c>
      <c r="I14" s="32" t="n">
        <v>32</v>
      </c>
      <c r="J14" s="32" t="inlineStr">
        <is>
          <t>10.112.146.93</t>
        </is>
      </c>
      <c r="K14" s="32" t="inlineStr">
        <is>
          <t>AWS ap-south-1</t>
        </is>
      </c>
      <c r="L14" s="32" t="inlineStr">
        <is>
          <t>Security</t>
        </is>
      </c>
      <c r="M14" s="32" t="inlineStr">
        <is>
          <t>Aarav Mehta</t>
        </is>
      </c>
      <c r="N14" s="32" t="inlineStr">
        <is>
          <t>Tier 2</t>
        </is>
      </c>
      <c r="O14" s="32" t="inlineStr">
        <is>
          <t>Weekly</t>
        </is>
      </c>
      <c r="P14" s="37" t="n">
        <v>46306</v>
      </c>
      <c r="Q14" s="32" t="inlineStr">
        <is>
          <t>Not Installed</t>
        </is>
      </c>
      <c r="R14" s="32" t="inlineStr">
        <is>
          <t>Veeam</t>
        </is>
      </c>
      <c r="S14" s="32" t="inlineStr">
        <is>
          <t>Decommissioning</t>
        </is>
      </c>
    </row>
    <row r="15" ht="15" customHeight="1" s="12">
      <c r="A15" s="32" t="inlineStr">
        <is>
          <t>SRV-0014</t>
        </is>
      </c>
      <c r="B15" s="32" t="inlineStr">
        <is>
          <t>LSRV-DEV-37</t>
        </is>
      </c>
      <c r="C15" s="32" t="inlineStr">
        <is>
          <t>App Server</t>
        </is>
      </c>
      <c r="D15" s="32" t="inlineStr">
        <is>
          <t>Linux</t>
        </is>
      </c>
      <c r="E15" s="32" t="inlineStr">
        <is>
          <t>Ubuntu 22.04 LTS</t>
        </is>
      </c>
      <c r="F15" s="32" t="inlineStr">
        <is>
          <t>AWS EC2</t>
        </is>
      </c>
      <c r="G15" s="32" t="inlineStr">
        <is>
          <t>Dev</t>
        </is>
      </c>
      <c r="H15" s="32" t="n">
        <v>8</v>
      </c>
      <c r="I15" s="32" t="n">
        <v>256</v>
      </c>
      <c r="J15" s="32" t="inlineStr">
        <is>
          <t>10.108.173.195</t>
        </is>
      </c>
      <c r="K15" s="32" t="inlineStr">
        <is>
          <t>Mumbai DC</t>
        </is>
      </c>
      <c r="L15" s="32" t="inlineStr">
        <is>
          <t>IT Ops</t>
        </is>
      </c>
      <c r="M15" s="32" t="inlineStr">
        <is>
          <t>Aarav Mehta</t>
        </is>
      </c>
      <c r="N15" s="32" t="inlineStr">
        <is>
          <t>Tier 1</t>
        </is>
      </c>
      <c r="O15" s="32" t="inlineStr">
        <is>
          <t>Quarterly</t>
        </is>
      </c>
      <c r="P15" s="37" t="n">
        <v>46303</v>
      </c>
      <c r="Q15" s="32" t="inlineStr">
        <is>
          <t>Not Installed</t>
        </is>
      </c>
      <c r="R15" s="32" t="inlineStr">
        <is>
          <t>Commvault</t>
        </is>
      </c>
      <c r="S15" s="32" t="inlineStr">
        <is>
          <t>Active</t>
        </is>
      </c>
    </row>
    <row r="16" ht="15" customHeight="1" s="12">
      <c r="A16" s="32" t="inlineStr">
        <is>
          <t>SRV-0015</t>
        </is>
      </c>
      <c r="B16" s="32" t="inlineStr">
        <is>
          <t>LSRV-PRO-38</t>
        </is>
      </c>
      <c r="C16" s="32" t="inlineStr">
        <is>
          <t>PostgreSQL DB</t>
        </is>
      </c>
      <c r="D16" s="32" t="inlineStr">
        <is>
          <t>Linux</t>
        </is>
      </c>
      <c r="E16" s="32" t="inlineStr">
        <is>
          <t>Rocky Linux 9</t>
        </is>
      </c>
      <c r="F16" s="32" t="inlineStr">
        <is>
          <t>AWS EC2</t>
        </is>
      </c>
      <c r="G16" s="32" t="inlineStr">
        <is>
          <t>Production</t>
        </is>
      </c>
      <c r="H16" s="32" t="n">
        <v>8</v>
      </c>
      <c r="I16" s="32" t="n">
        <v>32</v>
      </c>
      <c r="J16" s="32" t="inlineStr">
        <is>
          <t>10.125.138.226</t>
        </is>
      </c>
      <c r="K16" s="32" t="inlineStr">
        <is>
          <t>AWS ap-south-1</t>
        </is>
      </c>
      <c r="L16" s="32" t="inlineStr">
        <is>
          <t>Security</t>
        </is>
      </c>
      <c r="M16" s="32" t="inlineStr">
        <is>
          <t>Rohan Gupta</t>
        </is>
      </c>
      <c r="N16" s="32" t="inlineStr">
        <is>
          <t>Tier 1</t>
        </is>
      </c>
      <c r="O16" s="32" t="inlineStr">
        <is>
          <t>Quarterly</t>
        </is>
      </c>
      <c r="P16" s="37" t="n">
        <v>46204</v>
      </c>
      <c r="Q16" s="32" t="inlineStr">
        <is>
          <t>CrowdStrike Falcon</t>
        </is>
      </c>
      <c r="R16" s="32" t="inlineStr">
        <is>
          <t>Commvault</t>
        </is>
      </c>
      <c r="S16" s="32" t="inlineStr">
        <is>
          <t>Active</t>
        </is>
      </c>
    </row>
    <row r="17" ht="15" customHeight="1" s="12">
      <c r="A17" s="32" t="inlineStr">
        <is>
          <t>SRV-0016</t>
        </is>
      </c>
      <c r="B17" s="32" t="inlineStr">
        <is>
          <t>LSRV-DEV-10</t>
        </is>
      </c>
      <c r="C17" s="32" t="inlineStr">
        <is>
          <t>App Server</t>
        </is>
      </c>
      <c r="D17" s="32" t="inlineStr">
        <is>
          <t>Linux</t>
        </is>
      </c>
      <c r="E17" s="32" t="inlineStr">
        <is>
          <t>RHEL 9</t>
        </is>
      </c>
      <c r="F17" s="32" t="inlineStr">
        <is>
          <t>Physical - Dell R750</t>
        </is>
      </c>
      <c r="G17" s="32" t="inlineStr">
        <is>
          <t>Dev</t>
        </is>
      </c>
      <c r="H17" s="32" t="n">
        <v>64</v>
      </c>
      <c r="I17" s="32" t="n">
        <v>64</v>
      </c>
      <c r="J17" s="32" t="inlineStr">
        <is>
          <t>10.102.202.103</t>
        </is>
      </c>
      <c r="K17" s="32" t="inlineStr">
        <is>
          <t>Bengaluru DC</t>
        </is>
      </c>
      <c r="L17" s="32" t="inlineStr">
        <is>
          <t>Security</t>
        </is>
      </c>
      <c r="M17" s="32" t="inlineStr">
        <is>
          <t>Imran Khan</t>
        </is>
      </c>
      <c r="N17" s="32" t="inlineStr">
        <is>
          <t>Tier 0</t>
        </is>
      </c>
      <c r="O17" s="32" t="inlineStr">
        <is>
          <t>Quarterly</t>
        </is>
      </c>
      <c r="P17" s="37" t="n">
        <v>46260</v>
      </c>
      <c r="Q17" s="32" t="inlineStr">
        <is>
          <t>CrowdStrike Falcon</t>
        </is>
      </c>
      <c r="R17" s="32" t="inlineStr">
        <is>
          <t>None</t>
        </is>
      </c>
      <c r="S17" s="32" t="inlineStr">
        <is>
          <t>Active</t>
        </is>
      </c>
    </row>
    <row r="18" ht="15" customHeight="1" s="12">
      <c r="A18" s="32" t="inlineStr">
        <is>
          <t>SRV-0017</t>
        </is>
      </c>
      <c r="B18" s="32" t="inlineStr">
        <is>
          <t>LSRV-PRO-87</t>
        </is>
      </c>
      <c r="C18" s="32" t="inlineStr">
        <is>
          <t>App Server</t>
        </is>
      </c>
      <c r="D18" s="32" t="inlineStr">
        <is>
          <t>Linux</t>
        </is>
      </c>
      <c r="E18" s="32" t="inlineStr">
        <is>
          <t>Rocky Linux 9</t>
        </is>
      </c>
      <c r="F18" s="32" t="inlineStr">
        <is>
          <t>VMware VM</t>
        </is>
      </c>
      <c r="G18" s="32" t="inlineStr">
        <is>
          <t>Production</t>
        </is>
      </c>
      <c r="H18" s="32" t="n">
        <v>64</v>
      </c>
      <c r="I18" s="32" t="n">
        <v>256</v>
      </c>
      <c r="J18" s="32" t="inlineStr">
        <is>
          <t>10.110.234.158</t>
        </is>
      </c>
      <c r="K18" s="32" t="inlineStr">
        <is>
          <t>Mumbai DC</t>
        </is>
      </c>
      <c r="L18" s="32" t="inlineStr">
        <is>
          <t>IT Ops</t>
        </is>
      </c>
      <c r="M18" s="32" t="inlineStr">
        <is>
          <t>Meera Pillai</t>
        </is>
      </c>
      <c r="N18" s="32" t="inlineStr">
        <is>
          <t>Tier 1</t>
        </is>
      </c>
      <c r="O18" s="32" t="inlineStr">
        <is>
          <t>Quarterly</t>
        </is>
      </c>
      <c r="P18" s="37" t="n">
        <v>46293</v>
      </c>
      <c r="Q18" s="32" t="inlineStr">
        <is>
          <t>CrowdStrike Falcon</t>
        </is>
      </c>
      <c r="R18" s="32" t="inlineStr">
        <is>
          <t>Veeam</t>
        </is>
      </c>
      <c r="S18" s="32" t="inlineStr">
        <is>
          <t>Active</t>
        </is>
      </c>
    </row>
    <row r="19" ht="15" customHeight="1" s="12">
      <c r="A19" s="32" t="inlineStr">
        <is>
          <t>SRV-0018</t>
        </is>
      </c>
      <c r="B19" s="32" t="inlineStr">
        <is>
          <t>LSRV-UAT-64</t>
        </is>
      </c>
      <c r="C19" s="32" t="inlineStr">
        <is>
          <t>Web Server (nginx)</t>
        </is>
      </c>
      <c r="D19" s="32" t="inlineStr">
        <is>
          <t>Linux</t>
        </is>
      </c>
      <c r="E19" s="32" t="inlineStr">
        <is>
          <t>RHEL 8</t>
        </is>
      </c>
      <c r="F19" s="32" t="inlineStr">
        <is>
          <t>AWS EC2</t>
        </is>
      </c>
      <c r="G19" s="32" t="inlineStr">
        <is>
          <t>UAT</t>
        </is>
      </c>
      <c r="H19" s="32" t="n">
        <v>64</v>
      </c>
      <c r="I19" s="32" t="n">
        <v>32</v>
      </c>
      <c r="J19" s="32" t="inlineStr">
        <is>
          <t>10.112.116.96</t>
        </is>
      </c>
      <c r="K19" s="32" t="inlineStr">
        <is>
          <t>Azure Central India</t>
        </is>
      </c>
      <c r="L19" s="32" t="inlineStr">
        <is>
          <t>Engineering</t>
        </is>
      </c>
      <c r="M19" s="32" t="inlineStr">
        <is>
          <t>Karan Shah</t>
        </is>
      </c>
      <c r="N19" s="32" t="inlineStr">
        <is>
          <t>Tier 0</t>
        </is>
      </c>
      <c r="O19" s="32" t="inlineStr">
        <is>
          <t>Quarterly</t>
        </is>
      </c>
      <c r="P19" s="37" t="n">
        <v>46229</v>
      </c>
      <c r="Q19" s="32" t="inlineStr">
        <is>
          <t>CrowdStrike Falcon</t>
        </is>
      </c>
      <c r="R19" s="32" t="inlineStr">
        <is>
          <t>Commvault</t>
        </is>
      </c>
      <c r="S19" s="32" t="inlineStr">
        <is>
          <t>Active</t>
        </is>
      </c>
    </row>
    <row r="20" ht="15" customHeight="1" s="12">
      <c r="A20" s="32" t="inlineStr">
        <is>
          <t>SRV-0019</t>
        </is>
      </c>
      <c r="B20" s="32" t="inlineStr">
        <is>
          <t>LSRV-UAT-28</t>
        </is>
      </c>
      <c r="C20" s="32" t="inlineStr">
        <is>
          <t>Kubernetes Node</t>
        </is>
      </c>
      <c r="D20" s="32" t="inlineStr">
        <is>
          <t>Linux</t>
        </is>
      </c>
      <c r="E20" s="32" t="inlineStr">
        <is>
          <t>Rocky Linux 9</t>
        </is>
      </c>
      <c r="F20" s="32" t="inlineStr">
        <is>
          <t>AWS EC2</t>
        </is>
      </c>
      <c r="G20" s="32" t="inlineStr">
        <is>
          <t>UAT</t>
        </is>
      </c>
      <c r="H20" s="32" t="n">
        <v>16</v>
      </c>
      <c r="I20" s="32" t="n">
        <v>16</v>
      </c>
      <c r="J20" s="32" t="inlineStr">
        <is>
          <t>10.121.94.141</t>
        </is>
      </c>
      <c r="K20" s="32" t="inlineStr">
        <is>
          <t>AWS ap-south-1</t>
        </is>
      </c>
      <c r="L20" s="32" t="inlineStr">
        <is>
          <t>IT Ops</t>
        </is>
      </c>
      <c r="M20" s="32" t="inlineStr">
        <is>
          <t>Karan Shah</t>
        </is>
      </c>
      <c r="N20" s="32" t="inlineStr">
        <is>
          <t>Tier 1</t>
        </is>
      </c>
      <c r="O20" s="32" t="inlineStr">
        <is>
          <t>Monthly</t>
        </is>
      </c>
      <c r="P20" s="37" t="n">
        <v>46292</v>
      </c>
      <c r="Q20" s="32" t="inlineStr">
        <is>
          <t>CrowdStrike Falcon</t>
        </is>
      </c>
      <c r="R20" s="32" t="inlineStr">
        <is>
          <t>Veeam</t>
        </is>
      </c>
      <c r="S20" s="32" t="inlineStr">
        <is>
          <t>Active</t>
        </is>
      </c>
    </row>
    <row r="21" ht="15" customHeight="1" s="12">
      <c r="A21" s="32" t="inlineStr">
        <is>
          <t>SRV-0020</t>
        </is>
      </c>
      <c r="B21" s="32" t="inlineStr">
        <is>
          <t>LSRV-PRO-07</t>
        </is>
      </c>
      <c r="C21" s="32" t="inlineStr">
        <is>
          <t>PostgreSQL DB</t>
        </is>
      </c>
      <c r="D21" s="32" t="inlineStr">
        <is>
          <t>Linux</t>
        </is>
      </c>
      <c r="E21" s="32" t="inlineStr">
        <is>
          <t>RHEL 9</t>
        </is>
      </c>
      <c r="F21" s="32" t="inlineStr">
        <is>
          <t>AWS EC2</t>
        </is>
      </c>
      <c r="G21" s="32" t="inlineStr">
        <is>
          <t>Production</t>
        </is>
      </c>
      <c r="H21" s="32" t="n">
        <v>64</v>
      </c>
      <c r="I21" s="32" t="n">
        <v>32</v>
      </c>
      <c r="J21" s="32" t="inlineStr">
        <is>
          <t>10.102.212.197</t>
        </is>
      </c>
      <c r="K21" s="32" t="inlineStr">
        <is>
          <t>Mumbai DC</t>
        </is>
      </c>
      <c r="L21" s="32" t="inlineStr">
        <is>
          <t>Engineering</t>
        </is>
      </c>
      <c r="M21" s="32" t="inlineStr">
        <is>
          <t>Sneha Iyer</t>
        </is>
      </c>
      <c r="N21" s="32" t="inlineStr">
        <is>
          <t>Tier 1</t>
        </is>
      </c>
      <c r="O21" s="32" t="inlineStr">
        <is>
          <t>Monthly</t>
        </is>
      </c>
      <c r="P21" s="37" t="n">
        <v>46207</v>
      </c>
      <c r="Q21" s="32" t="inlineStr">
        <is>
          <t>Not Installed</t>
        </is>
      </c>
      <c r="R21" s="32" t="inlineStr">
        <is>
          <t>Veeam</t>
        </is>
      </c>
      <c r="S21" s="32" t="inlineStr">
        <is>
          <t>Active</t>
        </is>
      </c>
    </row>
    <row r="22" ht="15" customHeight="1" s="12">
      <c r="A22" s="32" t="inlineStr">
        <is>
          <t>SRV-0021</t>
        </is>
      </c>
      <c r="B22" s="32" t="inlineStr">
        <is>
          <t>LSRV-PRO-17</t>
        </is>
      </c>
      <c r="C22" s="32" t="inlineStr">
        <is>
          <t>Jump Host</t>
        </is>
      </c>
      <c r="D22" s="32" t="inlineStr">
        <is>
          <t>Linux</t>
        </is>
      </c>
      <c r="E22" s="32" t="inlineStr">
        <is>
          <t>Ubuntu 22.04 LTS</t>
        </is>
      </c>
      <c r="F22" s="32" t="inlineStr">
        <is>
          <t>AWS EC2</t>
        </is>
      </c>
      <c r="G22" s="32" t="inlineStr">
        <is>
          <t>Production</t>
        </is>
      </c>
      <c r="H22" s="32" t="n">
        <v>4</v>
      </c>
      <c r="I22" s="32" t="n">
        <v>16</v>
      </c>
      <c r="J22" s="32" t="inlineStr">
        <is>
          <t>10.104.3.93</t>
        </is>
      </c>
      <c r="K22" s="32" t="inlineStr">
        <is>
          <t>Mumbai DC</t>
        </is>
      </c>
      <c r="L22" s="32" t="inlineStr">
        <is>
          <t>Security</t>
        </is>
      </c>
      <c r="M22" s="32" t="inlineStr">
        <is>
          <t>Aarav Mehta</t>
        </is>
      </c>
      <c r="N22" s="32" t="inlineStr">
        <is>
          <t>Tier 1</t>
        </is>
      </c>
      <c r="O22" s="32" t="inlineStr">
        <is>
          <t>Weekly</t>
        </is>
      </c>
      <c r="P22" s="37" t="n">
        <v>46301</v>
      </c>
      <c r="Q22" s="32" t="inlineStr">
        <is>
          <t>CrowdStrike Falcon</t>
        </is>
      </c>
      <c r="R22" s="32" t="inlineStr">
        <is>
          <t>None</t>
        </is>
      </c>
      <c r="S22" s="32" t="inlineStr">
        <is>
          <t>Active</t>
        </is>
      </c>
    </row>
    <row r="23" ht="15" customHeight="1" s="12">
      <c r="A23" s="32" t="inlineStr">
        <is>
          <t>SRV-0022</t>
        </is>
      </c>
      <c r="B23" s="32" t="inlineStr">
        <is>
          <t>LSRV-PRO-96</t>
        </is>
      </c>
      <c r="C23" s="32" t="inlineStr">
        <is>
          <t>Web Server (nginx)</t>
        </is>
      </c>
      <c r="D23" s="32" t="inlineStr">
        <is>
          <t>Linux</t>
        </is>
      </c>
      <c r="E23" s="32" t="inlineStr">
        <is>
          <t>Rocky Linux 9</t>
        </is>
      </c>
      <c r="F23" s="32" t="inlineStr">
        <is>
          <t>Physical - Dell R750</t>
        </is>
      </c>
      <c r="G23" s="32" t="inlineStr">
        <is>
          <t>Production</t>
        </is>
      </c>
      <c r="H23" s="32" t="n">
        <v>16</v>
      </c>
      <c r="I23" s="32" t="n">
        <v>256</v>
      </c>
      <c r="J23" s="32" t="inlineStr">
        <is>
          <t>10.118.27.117</t>
        </is>
      </c>
      <c r="K23" s="32" t="inlineStr">
        <is>
          <t>Mumbai DC</t>
        </is>
      </c>
      <c r="L23" s="32" t="inlineStr">
        <is>
          <t>IT Ops</t>
        </is>
      </c>
      <c r="M23" s="32" t="inlineStr">
        <is>
          <t>Imran Khan</t>
        </is>
      </c>
      <c r="N23" s="32" t="inlineStr">
        <is>
          <t>Tier 1</t>
        </is>
      </c>
      <c r="O23" s="32" t="inlineStr">
        <is>
          <t>Quarterly</t>
        </is>
      </c>
      <c r="P23" s="37" t="n">
        <v>46225</v>
      </c>
      <c r="Q23" s="32" t="inlineStr">
        <is>
          <t>CrowdStrike Falcon</t>
        </is>
      </c>
      <c r="R23" s="32" t="inlineStr">
        <is>
          <t>Veeam</t>
        </is>
      </c>
      <c r="S23" s="32" t="inlineStr">
        <is>
          <t>Active</t>
        </is>
      </c>
    </row>
    <row r="24" ht="15" customHeight="1" s="12">
      <c r="A24" s="32" t="inlineStr">
        <is>
          <t>SRV-0023</t>
        </is>
      </c>
      <c r="B24" s="32" t="inlineStr">
        <is>
          <t>LSRV-DEV-55</t>
        </is>
      </c>
      <c r="C24" s="32" t="inlineStr">
        <is>
          <t>Log Collector</t>
        </is>
      </c>
      <c r="D24" s="32" t="inlineStr">
        <is>
          <t>Linux</t>
        </is>
      </c>
      <c r="E24" s="32" t="inlineStr">
        <is>
          <t>RHEL 8</t>
        </is>
      </c>
      <c r="F24" s="32" t="inlineStr">
        <is>
          <t>Physical - Dell R750</t>
        </is>
      </c>
      <c r="G24" s="32" t="inlineStr">
        <is>
          <t>Dev</t>
        </is>
      </c>
      <c r="H24" s="32" t="n">
        <v>32</v>
      </c>
      <c r="I24" s="32" t="n">
        <v>16</v>
      </c>
      <c r="J24" s="32" t="inlineStr">
        <is>
          <t>10.128.20.84</t>
        </is>
      </c>
      <c r="K24" s="32" t="inlineStr">
        <is>
          <t>Mumbai DC</t>
        </is>
      </c>
      <c r="L24" s="32" t="inlineStr">
        <is>
          <t>IT Ops</t>
        </is>
      </c>
      <c r="M24" s="32" t="inlineStr">
        <is>
          <t>Rohan Gupta</t>
        </is>
      </c>
      <c r="N24" s="32" t="inlineStr">
        <is>
          <t>Tier 1</t>
        </is>
      </c>
      <c r="O24" s="32" t="inlineStr">
        <is>
          <t>Not Patched</t>
        </is>
      </c>
      <c r="P24" s="37" t="n">
        <v>46226</v>
      </c>
      <c r="Q24" s="32" t="inlineStr">
        <is>
          <t>Not Installed</t>
        </is>
      </c>
      <c r="R24" s="32" t="inlineStr">
        <is>
          <t>Commvault</t>
        </is>
      </c>
      <c r="S24" s="32" t="inlineStr">
        <is>
          <t>Active</t>
        </is>
      </c>
    </row>
    <row r="25" ht="15" customHeight="1" s="12">
      <c r="A25" s="32" t="inlineStr">
        <is>
          <t>SRV-0024</t>
        </is>
      </c>
      <c r="B25" s="32" t="inlineStr">
        <is>
          <t>LSRV-UAT-59</t>
        </is>
      </c>
      <c r="C25" s="32" t="inlineStr">
        <is>
          <t>Jump Host</t>
        </is>
      </c>
      <c r="D25" s="32" t="inlineStr">
        <is>
          <t>Linux</t>
        </is>
      </c>
      <c r="E25" s="32" t="inlineStr">
        <is>
          <t>Rocky Linux 9</t>
        </is>
      </c>
      <c r="F25" s="32" t="inlineStr">
        <is>
          <t>VMware VM</t>
        </is>
      </c>
      <c r="G25" s="32" t="inlineStr">
        <is>
          <t>UAT</t>
        </is>
      </c>
      <c r="H25" s="32" t="n">
        <v>4</v>
      </c>
      <c r="I25" s="32" t="n">
        <v>256</v>
      </c>
      <c r="J25" s="32" t="inlineStr">
        <is>
          <t>10.123.221.57</t>
        </is>
      </c>
      <c r="K25" s="32" t="inlineStr">
        <is>
          <t>Azure Central India</t>
        </is>
      </c>
      <c r="L25" s="32" t="inlineStr">
        <is>
          <t>Finance</t>
        </is>
      </c>
      <c r="M25" s="32" t="inlineStr">
        <is>
          <t>Sneha Iyer</t>
        </is>
      </c>
      <c r="N25" s="32" t="inlineStr">
        <is>
          <t>Tier 2</t>
        </is>
      </c>
      <c r="O25" s="32" t="inlineStr">
        <is>
          <t>Weekly</t>
        </is>
      </c>
      <c r="P25" s="37" t="n">
        <v>46202</v>
      </c>
      <c r="Q25" s="32" t="inlineStr">
        <is>
          <t>CrowdStrike Falcon</t>
        </is>
      </c>
      <c r="R25" s="32" t="inlineStr">
        <is>
          <t>None</t>
        </is>
      </c>
      <c r="S25" s="32" t="inlineStr">
        <is>
          <t>Active</t>
        </is>
      </c>
    </row>
    <row r="26" ht="15" customHeight="1" s="12">
      <c r="A26" s="32" t="inlineStr">
        <is>
          <t>SRV-0025</t>
        </is>
      </c>
      <c r="B26" s="32" t="inlineStr">
        <is>
          <t>MSRV-DEV-41</t>
        </is>
      </c>
      <c r="C26" s="32" t="inlineStr">
        <is>
          <t>CI Build Runner</t>
        </is>
      </c>
      <c r="D26" s="32" t="inlineStr">
        <is>
          <t>macOS</t>
        </is>
      </c>
      <c r="E26" s="32" t="inlineStr">
        <is>
          <t>macOS 14 Server Host</t>
        </is>
      </c>
      <c r="F26" s="32" t="inlineStr">
        <is>
          <t>Physical - Dell R750</t>
        </is>
      </c>
      <c r="G26" s="32" t="inlineStr">
        <is>
          <t>Dev</t>
        </is>
      </c>
      <c r="H26" s="32" t="n">
        <v>16</v>
      </c>
      <c r="I26" s="32" t="n">
        <v>64</v>
      </c>
      <c r="J26" s="32" t="inlineStr">
        <is>
          <t>10.130.39.177</t>
        </is>
      </c>
      <c r="K26" s="32" t="inlineStr">
        <is>
          <t>Azure Central India</t>
        </is>
      </c>
      <c r="L26" s="32" t="inlineStr">
        <is>
          <t>IT Ops</t>
        </is>
      </c>
      <c r="M26" s="32" t="inlineStr">
        <is>
          <t>Priya Nair</t>
        </is>
      </c>
      <c r="N26" s="32" t="inlineStr">
        <is>
          <t>Tier 0</t>
        </is>
      </c>
      <c r="O26" s="32" t="inlineStr">
        <is>
          <t>Monthly</t>
        </is>
      </c>
      <c r="P26" s="37" t="n">
        <v>46252</v>
      </c>
      <c r="Q26" s="32" t="inlineStr">
        <is>
          <t>CrowdStrike Falcon</t>
        </is>
      </c>
      <c r="R26" s="32" t="inlineStr">
        <is>
          <t>Commvault</t>
        </is>
      </c>
      <c r="S26" s="32" t="inlineStr">
        <is>
          <t>Active</t>
        </is>
      </c>
    </row>
    <row r="27" ht="15" customHeight="1" s="12">
      <c r="A27" s="32" t="inlineStr">
        <is>
          <t>SRV-0026</t>
        </is>
      </c>
      <c r="B27" s="32" t="inlineStr">
        <is>
          <t>MSRV-DEV-76</t>
        </is>
      </c>
      <c r="C27" s="32" t="inlineStr">
        <is>
          <t>CI Build Runner</t>
        </is>
      </c>
      <c r="D27" s="32" t="inlineStr">
        <is>
          <t>macOS</t>
        </is>
      </c>
      <c r="E27" s="32" t="inlineStr">
        <is>
          <t>macOS 14 Server Host</t>
        </is>
      </c>
      <c r="F27" s="32" t="inlineStr">
        <is>
          <t>Physical - Dell R750</t>
        </is>
      </c>
      <c r="G27" s="32" t="inlineStr">
        <is>
          <t>Dev</t>
        </is>
      </c>
      <c r="H27" s="32" t="n">
        <v>32</v>
      </c>
      <c r="I27" s="32" t="n">
        <v>64</v>
      </c>
      <c r="J27" s="32" t="inlineStr">
        <is>
          <t>10.127.170.242</t>
        </is>
      </c>
      <c r="K27" s="32" t="inlineStr">
        <is>
          <t>Azure Central India</t>
        </is>
      </c>
      <c r="L27" s="32" t="inlineStr">
        <is>
          <t>IT Ops</t>
        </is>
      </c>
      <c r="M27" s="32" t="inlineStr">
        <is>
          <t>Vikram Rao</t>
        </is>
      </c>
      <c r="N27" s="32" t="inlineStr">
        <is>
          <t>Tier 3</t>
        </is>
      </c>
      <c r="O27" s="32" t="inlineStr">
        <is>
          <t>Weekly</t>
        </is>
      </c>
      <c r="P27" s="37" t="n">
        <v>46262</v>
      </c>
      <c r="Q27" s="32" t="inlineStr">
        <is>
          <t>CrowdStrike Falcon</t>
        </is>
      </c>
      <c r="R27" s="32" t="inlineStr">
        <is>
          <t>Veeam</t>
        </is>
      </c>
      <c r="S27" s="32" t="inlineStr">
        <is>
          <t>Active</t>
        </is>
      </c>
    </row>
  </sheetData>
  <autoFilter ref="A1:S2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7" min="1" max="1"/>
    <col width="20" customWidth="1" style="27" min="2" max="2"/>
    <col width="34" customWidth="1" style="27" min="3" max="3"/>
    <col width="20" customWidth="1" style="27" min="4" max="4"/>
    <col width="15" customWidth="1" style="27" min="5" max="5"/>
    <col width="10" customWidth="1" style="27" min="6" max="6"/>
    <col width="18" customWidth="1" style="27" min="7" max="7"/>
    <col width="16" customWidth="1" style="27" min="8" max="8"/>
    <col width="34" customWidth="1" style="27" min="9" max="9"/>
  </cols>
  <sheetData>
    <row r="1" ht="23.85" customHeight="1" s="12">
      <c r="A1" s="38" t="inlineStr">
        <is>
          <t>Register ID</t>
        </is>
      </c>
      <c r="B1" s="38" t="inlineStr">
        <is>
          <t>Category</t>
        </is>
      </c>
      <c r="C1" s="38" t="inlineStr">
        <is>
          <t>Item</t>
        </is>
      </c>
      <c r="D1" s="38" t="inlineStr">
        <is>
          <t>Vendor</t>
        </is>
      </c>
      <c r="E1" s="38" t="inlineStr">
        <is>
          <t>Owner</t>
        </is>
      </c>
      <c r="F1" s="38" t="inlineStr">
        <is>
          <t>Quantity</t>
        </is>
      </c>
      <c r="G1" s="38" t="inlineStr">
        <is>
          <t>Annual Cost (INR)</t>
        </is>
      </c>
      <c r="H1" s="38" t="inlineStr">
        <is>
          <t>Renewal / Expiry</t>
        </is>
      </c>
      <c r="I1" s="38" t="inlineStr">
        <is>
          <t>Notes</t>
        </is>
      </c>
    </row>
    <row r="2" ht="15" customHeight="1" s="12">
      <c r="A2" s="32" t="inlineStr">
        <is>
          <t>REG-0001</t>
        </is>
      </c>
      <c r="B2" s="32" t="inlineStr">
        <is>
          <t>Software License</t>
        </is>
      </c>
      <c r="C2" s="32" t="inlineStr">
        <is>
          <t>Microsoft 365 E5</t>
        </is>
      </c>
      <c r="D2" s="32" t="inlineStr">
        <is>
          <t>Microsoft</t>
        </is>
      </c>
      <c r="E2" s="32" t="inlineStr">
        <is>
          <t>Meera Pillai</t>
        </is>
      </c>
      <c r="F2" s="32" t="n">
        <v>60</v>
      </c>
      <c r="G2" s="35" t="n">
        <v>228000</v>
      </c>
      <c r="H2" s="37" t="n">
        <v>46442</v>
      </c>
      <c r="I2" s="32" t="inlineStr">
        <is>
          <t>Per-user annual (qty x unit price)</t>
        </is>
      </c>
    </row>
    <row r="3" ht="15" customHeight="1" s="12">
      <c r="A3" s="32" t="inlineStr">
        <is>
          <t>REG-0002</t>
        </is>
      </c>
      <c r="B3" s="32" t="inlineStr">
        <is>
          <t>Software License</t>
        </is>
      </c>
      <c r="C3" s="32" t="inlineStr">
        <is>
          <t>CrowdStrike Falcon Prevent</t>
        </is>
      </c>
      <c r="D3" s="32" t="inlineStr">
        <is>
          <t>CrowdStrike</t>
        </is>
      </c>
      <c r="E3" s="32" t="inlineStr">
        <is>
          <t>Priya Nair</t>
        </is>
      </c>
      <c r="F3" s="32" t="n">
        <v>70</v>
      </c>
      <c r="G3" s="35" t="n">
        <v>168000</v>
      </c>
      <c r="H3" s="37" t="n">
        <v>46507</v>
      </c>
      <c r="I3" s="32" t="inlineStr">
        <is>
          <t>Per-user annual (qty x unit price)</t>
        </is>
      </c>
    </row>
    <row r="4" ht="15" customHeight="1" s="12">
      <c r="A4" s="32" t="inlineStr">
        <is>
          <t>REG-0003</t>
        </is>
      </c>
      <c r="B4" s="32" t="inlineStr">
        <is>
          <t>Software License</t>
        </is>
      </c>
      <c r="C4" s="32" t="inlineStr">
        <is>
          <t>JAMF Pro</t>
        </is>
      </c>
      <c r="D4" s="32" t="inlineStr">
        <is>
          <t>JAMF</t>
        </is>
      </c>
      <c r="E4" s="32" t="inlineStr">
        <is>
          <t>Imran Khan</t>
        </is>
      </c>
      <c r="F4" s="32" t="n">
        <v>20</v>
      </c>
      <c r="G4" s="35" t="n">
        <v>30000</v>
      </c>
      <c r="H4" s="37" t="n">
        <v>46516</v>
      </c>
      <c r="I4" s="32" t="inlineStr">
        <is>
          <t>Per-user annual (qty x unit price)</t>
        </is>
      </c>
    </row>
    <row r="5" ht="15" customHeight="1" s="12">
      <c r="A5" s="32" t="inlineStr">
        <is>
          <t>REG-0004</t>
        </is>
      </c>
      <c r="B5" s="32" t="inlineStr">
        <is>
          <t>Software License</t>
        </is>
      </c>
      <c r="C5" s="32" t="inlineStr">
        <is>
          <t>Slack Enterprise</t>
        </is>
      </c>
      <c r="D5" s="32" t="inlineStr">
        <is>
          <t>Salesforce</t>
        </is>
      </c>
      <c r="E5" s="32" t="inlineStr">
        <is>
          <t>Priya Nair</t>
        </is>
      </c>
      <c r="F5" s="32" t="n">
        <v>60</v>
      </c>
      <c r="G5" s="35" t="n">
        <v>114000</v>
      </c>
      <c r="H5" s="37" t="n">
        <v>46470</v>
      </c>
      <c r="I5" s="32" t="inlineStr">
        <is>
          <t>Per-user annual (qty x unit price)</t>
        </is>
      </c>
    </row>
    <row r="6" ht="15" customHeight="1" s="12">
      <c r="A6" s="32" t="inlineStr">
        <is>
          <t>REG-0005</t>
        </is>
      </c>
      <c r="B6" s="32" t="inlineStr">
        <is>
          <t>Software License</t>
        </is>
      </c>
      <c r="C6" s="32" t="inlineStr">
        <is>
          <t>Atlassian Jira Cloud</t>
        </is>
      </c>
      <c r="D6" s="32" t="inlineStr">
        <is>
          <t>Atlassian</t>
        </is>
      </c>
      <c r="E6" s="32" t="inlineStr">
        <is>
          <t>Divya Menon</t>
        </is>
      </c>
      <c r="F6" s="32" t="n">
        <v>40</v>
      </c>
      <c r="G6" s="35" t="n">
        <v>44000</v>
      </c>
      <c r="H6" s="37" t="n">
        <v>46443</v>
      </c>
      <c r="I6" s="32" t="inlineStr">
        <is>
          <t>Per-user annual (qty x unit price)</t>
        </is>
      </c>
    </row>
    <row r="7" ht="15" customHeight="1" s="12">
      <c r="A7" s="32" t="inlineStr">
        <is>
          <t>REG-0006</t>
        </is>
      </c>
      <c r="B7" s="32" t="inlineStr">
        <is>
          <t>Software License</t>
        </is>
      </c>
      <c r="C7" s="32" t="inlineStr">
        <is>
          <t>GitHub Enterprise</t>
        </is>
      </c>
      <c r="D7" s="32" t="inlineStr">
        <is>
          <t>GitHub</t>
        </is>
      </c>
      <c r="E7" s="32" t="inlineStr">
        <is>
          <t>Karan Shah</t>
        </is>
      </c>
      <c r="F7" s="32" t="n">
        <v>35</v>
      </c>
      <c r="G7" s="35" t="n">
        <v>73500</v>
      </c>
      <c r="H7" s="37" t="n">
        <v>46615</v>
      </c>
      <c r="I7" s="32" t="inlineStr">
        <is>
          <t>Per-user annual (qty x unit price)</t>
        </is>
      </c>
    </row>
    <row r="8" ht="15" customHeight="1" s="12">
      <c r="A8" s="32" t="inlineStr">
        <is>
          <t>REG-0007</t>
        </is>
      </c>
      <c r="B8" s="32" t="inlineStr">
        <is>
          <t>Software License</t>
        </is>
      </c>
      <c r="C8" s="32" t="inlineStr">
        <is>
          <t>Zoom Business</t>
        </is>
      </c>
      <c r="D8" s="32" t="inlineStr">
        <is>
          <t>Zoom</t>
        </is>
      </c>
      <c r="E8" s="32" t="inlineStr">
        <is>
          <t>Divya Menon</t>
        </is>
      </c>
      <c r="F8" s="32" t="n">
        <v>60</v>
      </c>
      <c r="G8" s="35" t="n">
        <v>84000</v>
      </c>
      <c r="H8" s="37" t="n">
        <v>46642</v>
      </c>
      <c r="I8" s="32" t="inlineStr">
        <is>
          <t>Per-user annual (qty x unit price)</t>
        </is>
      </c>
    </row>
    <row r="9" ht="15" customHeight="1" s="12">
      <c r="A9" s="32" t="inlineStr">
        <is>
          <t>REG-0008</t>
        </is>
      </c>
      <c r="B9" s="32" t="inlineStr">
        <is>
          <t>Software License</t>
        </is>
      </c>
      <c r="C9" s="32" t="inlineStr">
        <is>
          <t>Okta Workforce Identity</t>
        </is>
      </c>
      <c r="D9" s="32" t="inlineStr">
        <is>
          <t>Okta</t>
        </is>
      </c>
      <c r="E9" s="32" t="inlineStr">
        <is>
          <t>Imran Khan</t>
        </is>
      </c>
      <c r="F9" s="32" t="n">
        <v>60</v>
      </c>
      <c r="G9" s="35" t="n">
        <v>108000</v>
      </c>
      <c r="H9" s="37" t="n">
        <v>46341</v>
      </c>
      <c r="I9" s="32" t="inlineStr">
        <is>
          <t>Per-user annual (qty x unit price)</t>
        </is>
      </c>
    </row>
    <row r="10" ht="15" customHeight="1" s="12">
      <c r="A10" s="32" t="inlineStr">
        <is>
          <t>REG-0009</t>
        </is>
      </c>
      <c r="B10" s="32" t="inlineStr">
        <is>
          <t>Network Device</t>
        </is>
      </c>
      <c r="C10" s="32" t="inlineStr">
        <is>
          <t>Palo Alto PA-3410 Firewall</t>
        </is>
      </c>
      <c r="D10" s="32" t="inlineStr">
        <is>
          <t>Palo Alto Networks</t>
        </is>
      </c>
      <c r="E10" s="32" t="inlineStr">
        <is>
          <t>Vikram Rao</t>
        </is>
      </c>
      <c r="F10" s="32" t="n">
        <v>2</v>
      </c>
      <c r="G10" s="35" t="n">
        <v>45000</v>
      </c>
      <c r="H10" s="37" t="n">
        <v>46397</v>
      </c>
      <c r="I10" s="32" t="inlineStr">
        <is>
          <t>Support contract end date shown</t>
        </is>
      </c>
    </row>
    <row r="11" ht="15" customHeight="1" s="12">
      <c r="A11" s="32" t="inlineStr">
        <is>
          <t>REG-0010</t>
        </is>
      </c>
      <c r="B11" s="32" t="inlineStr">
        <is>
          <t>Network Device</t>
        </is>
      </c>
      <c r="C11" s="32" t="inlineStr">
        <is>
          <t>Cisco Catalyst 9300 Switch</t>
        </is>
      </c>
      <c r="D11" s="32" t="inlineStr">
        <is>
          <t>Cisco</t>
        </is>
      </c>
      <c r="E11" s="32" t="inlineStr">
        <is>
          <t>Vikram Rao</t>
        </is>
      </c>
      <c r="F11" s="32" t="n">
        <v>6</v>
      </c>
      <c r="G11" s="35" t="n">
        <v>95000</v>
      </c>
      <c r="H11" s="37" t="n">
        <v>46647</v>
      </c>
      <c r="I11" s="32" t="inlineStr">
        <is>
          <t>Support contract end date shown</t>
        </is>
      </c>
    </row>
    <row r="12" ht="15" customHeight="1" s="12">
      <c r="A12" s="32" t="inlineStr">
        <is>
          <t>REG-0011</t>
        </is>
      </c>
      <c r="B12" s="32" t="inlineStr">
        <is>
          <t>Network Device</t>
        </is>
      </c>
      <c r="C12" s="32" t="inlineStr">
        <is>
          <t>Aruba AP-535 Access Point</t>
        </is>
      </c>
      <c r="D12" s="32" t="inlineStr">
        <is>
          <t>HPE Aruba</t>
        </is>
      </c>
      <c r="E12" s="32" t="inlineStr">
        <is>
          <t>Vikram Rao</t>
        </is>
      </c>
      <c r="F12" s="32" t="n">
        <v>18</v>
      </c>
      <c r="G12" s="35" t="n">
        <v>45000</v>
      </c>
      <c r="H12" s="37" t="n">
        <v>46715</v>
      </c>
      <c r="I12" s="32" t="inlineStr">
        <is>
          <t>Support contract end date shown</t>
        </is>
      </c>
    </row>
    <row r="13" ht="15" customHeight="1" s="12">
      <c r="A13" s="32" t="inlineStr">
        <is>
          <t>REG-0012</t>
        </is>
      </c>
      <c r="B13" s="32" t="inlineStr">
        <is>
          <t>Network Device</t>
        </is>
      </c>
      <c r="C13" s="32" t="inlineStr">
        <is>
          <t>F5 BIG-IP LTM</t>
        </is>
      </c>
      <c r="D13" s="32" t="inlineStr">
        <is>
          <t>F5</t>
        </is>
      </c>
      <c r="E13" s="32" t="inlineStr">
        <is>
          <t>Vikram Rao</t>
        </is>
      </c>
      <c r="F13" s="32" t="n">
        <v>2</v>
      </c>
      <c r="G13" s="35" t="n">
        <v>45000</v>
      </c>
      <c r="H13" s="37" t="n">
        <v>46374</v>
      </c>
      <c r="I13" s="32" t="inlineStr">
        <is>
          <t>Support contract end date shown</t>
        </is>
      </c>
    </row>
    <row r="14" ht="15" customHeight="1" s="12">
      <c r="A14" s="32" t="inlineStr">
        <is>
          <t>REG-0013</t>
        </is>
      </c>
      <c r="B14" s="32" t="inlineStr">
        <is>
          <t>Cloud Account</t>
        </is>
      </c>
      <c r="C14" s="32" t="inlineStr">
        <is>
          <t>AWS Account - Prod</t>
        </is>
      </c>
      <c r="D14" s="32" t="inlineStr">
        <is>
          <t>AWS</t>
        </is>
      </c>
      <c r="E14" s="32" t="inlineStr">
        <is>
          <t>Rohan Gupta</t>
        </is>
      </c>
      <c r="F14" s="32" t="n">
        <v>1</v>
      </c>
      <c r="G14" s="35" t="n">
        <v>120000</v>
      </c>
      <c r="H14" s="32" t="inlineStr">
        <is>
          <t>Pay-as-you-go</t>
        </is>
      </c>
      <c r="I14" s="32" t="inlineStr">
        <is>
          <t>Monthly billing</t>
        </is>
      </c>
    </row>
    <row r="15" ht="15" customHeight="1" s="12">
      <c r="A15" s="32" t="inlineStr">
        <is>
          <t>REG-0014</t>
        </is>
      </c>
      <c r="B15" s="32" t="inlineStr">
        <is>
          <t>Cloud Account</t>
        </is>
      </c>
      <c r="C15" s="32" t="inlineStr">
        <is>
          <t>AWS Account - Dev</t>
        </is>
      </c>
      <c r="D15" s="32" t="inlineStr">
        <is>
          <t>AWS</t>
        </is>
      </c>
      <c r="E15" s="32" t="inlineStr">
        <is>
          <t>Divya Menon</t>
        </is>
      </c>
      <c r="F15" s="32" t="n">
        <v>1</v>
      </c>
      <c r="G15" s="35" t="n">
        <v>90000</v>
      </c>
      <c r="H15" s="32" t="inlineStr">
        <is>
          <t>Pay-as-you-go</t>
        </is>
      </c>
      <c r="I15" s="32" t="inlineStr">
        <is>
          <t>Monthly billing</t>
        </is>
      </c>
    </row>
    <row r="16" ht="15" customHeight="1" s="12">
      <c r="A16" s="32" t="inlineStr">
        <is>
          <t>REG-0015</t>
        </is>
      </c>
      <c r="B16" s="32" t="inlineStr">
        <is>
          <t>Cloud Account</t>
        </is>
      </c>
      <c r="C16" s="32" t="inlineStr">
        <is>
          <t>Azure Subscription - Corp</t>
        </is>
      </c>
      <c r="D16" s="32" t="inlineStr">
        <is>
          <t>Microsoft</t>
        </is>
      </c>
      <c r="E16" s="32" t="inlineStr">
        <is>
          <t>Priya Nair</t>
        </is>
      </c>
      <c r="F16" s="32" t="n">
        <v>1</v>
      </c>
      <c r="G16" s="35" t="n">
        <v>120000</v>
      </c>
      <c r="H16" s="32" t="inlineStr">
        <is>
          <t>Pay-as-you-go</t>
        </is>
      </c>
      <c r="I16" s="32" t="inlineStr">
        <is>
          <t>Monthly billing</t>
        </is>
      </c>
    </row>
    <row r="17" ht="15" customHeight="1" s="12">
      <c r="A17" s="32" t="inlineStr">
        <is>
          <t>REG-0016</t>
        </is>
      </c>
      <c r="B17" s="32" t="inlineStr">
        <is>
          <t>Cloud Account</t>
        </is>
      </c>
      <c r="C17" s="32" t="inlineStr">
        <is>
          <t>Cloudflare Enterprise</t>
        </is>
      </c>
      <c r="D17" s="32" t="inlineStr">
        <is>
          <t>Cloudflare</t>
        </is>
      </c>
      <c r="E17" s="32" t="inlineStr">
        <is>
          <t>Aarav Mehta</t>
        </is>
      </c>
      <c r="F17" s="32" t="n">
        <v>1</v>
      </c>
      <c r="G17" s="35" t="n">
        <v>450000</v>
      </c>
      <c r="H17" s="32" t="inlineStr">
        <is>
          <t>Pay-as-you-go</t>
        </is>
      </c>
      <c r="I17" s="32" t="inlineStr">
        <is>
          <t>Monthly billing</t>
        </is>
      </c>
    </row>
    <row r="18" ht="15" customHeight="1" s="12">
      <c r="A18" s="32" t="inlineStr">
        <is>
          <t>REG-0017</t>
        </is>
      </c>
      <c r="B18" s="32" t="inlineStr">
        <is>
          <t>Mobile Device</t>
        </is>
      </c>
      <c r="C18" s="32" t="inlineStr">
        <is>
          <t>iPhone 15 (corporate)</t>
        </is>
      </c>
      <c r="D18" s="32" t="inlineStr">
        <is>
          <t>Apple</t>
        </is>
      </c>
      <c r="E18" s="32" t="inlineStr">
        <is>
          <t>IT Ops</t>
        </is>
      </c>
      <c r="F18" s="32" t="n">
        <v>12</v>
      </c>
      <c r="G18" s="35" t="n">
        <v>70000</v>
      </c>
      <c r="H18" s="32" t="inlineStr">
        <is>
          <t>N/A</t>
        </is>
      </c>
      <c r="I18" s="32" t="inlineStr">
        <is>
          <t>Managed via Intune</t>
        </is>
      </c>
    </row>
    <row r="19" ht="15" customHeight="1" s="12">
      <c r="A19" s="32" t="inlineStr">
        <is>
          <t>REG-0018</t>
        </is>
      </c>
      <c r="B19" s="32" t="inlineStr">
        <is>
          <t>Mobile Device</t>
        </is>
      </c>
      <c r="C19" s="32" t="inlineStr">
        <is>
          <t>Samsung Galaxy S24 (corporate)</t>
        </is>
      </c>
      <c r="D19" s="32" t="inlineStr">
        <is>
          <t>Samsung</t>
        </is>
      </c>
      <c r="E19" s="32" t="inlineStr">
        <is>
          <t>IT Ops</t>
        </is>
      </c>
      <c r="F19" s="32" t="n">
        <v>6</v>
      </c>
      <c r="G19" s="35" t="n">
        <v>65000</v>
      </c>
      <c r="H19" s="32" t="inlineStr">
        <is>
          <t>N/A</t>
        </is>
      </c>
      <c r="I19" s="32" t="inlineStr">
        <is>
          <t>Managed via Intune</t>
        </is>
      </c>
    </row>
    <row r="20" ht="15" customHeight="1" s="12">
      <c r="A20" s="32" t="inlineStr">
        <is>
          <t>REG-0019</t>
        </is>
      </c>
      <c r="B20" s="32" t="inlineStr">
        <is>
          <t>Domain / Certificate</t>
        </is>
      </c>
      <c r="C20" s="32" t="inlineStr">
        <is>
          <t>*.example-corp.com wildcard cert</t>
        </is>
      </c>
      <c r="D20" s="32" t="inlineStr">
        <is>
          <t>DigiCert</t>
        </is>
      </c>
      <c r="E20" s="32" t="inlineStr">
        <is>
          <t>Security</t>
        </is>
      </c>
      <c r="F20" s="32" t="n">
        <v>1</v>
      </c>
      <c r="G20" s="35" t="n">
        <v>35000</v>
      </c>
      <c r="H20" s="37" t="n">
        <v>46383</v>
      </c>
      <c r="I20" s="32" t="inlineStr">
        <is>
          <t>Auto-renew off</t>
        </is>
      </c>
    </row>
    <row r="21" ht="15" customHeight="1" s="12">
      <c r="A21" s="32" t="inlineStr">
        <is>
          <t>REG-0020</t>
        </is>
      </c>
      <c r="B21" s="32" t="inlineStr">
        <is>
          <t>Domain / Certificate</t>
        </is>
      </c>
      <c r="C21" s="32" t="inlineStr">
        <is>
          <t>example-corp.com domain</t>
        </is>
      </c>
      <c r="D21" s="32" t="inlineStr">
        <is>
          <t>GoDaddy</t>
        </is>
      </c>
      <c r="E21" s="32" t="inlineStr">
        <is>
          <t>IT Ops</t>
        </is>
      </c>
      <c r="F21" s="32" t="n">
        <v>1</v>
      </c>
      <c r="G21" s="35" t="n">
        <v>2500</v>
      </c>
      <c r="H21" s="37" t="n">
        <v>46518</v>
      </c>
      <c r="I21" s="32" t="n"/>
    </row>
  </sheetData>
  <autoFilter ref="A1:I2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2026-10-13T04:56:03Z</dcterms:created>
  <dcterms:modified xsi:type="dcterms:W3CDTF">2026-10-13T05:17:46Z</dcterms:modified>
  <cp:revision>0</cp:revision>
</cp:coreProperties>
</file>