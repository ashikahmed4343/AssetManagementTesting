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Endpoints" sheetId="2" state="visible" r:id="rId4"/>
    <sheet name="Servers" sheetId="3" state="visible" r:id="rId5"/>
    <sheet name="Registers" sheetId="4" state="visible" r:id="rId6"/>
  </sheets>
  <definedNames>
    <definedName function="false" hidden="true" localSheetId="1" name="_xlnm._FilterDatabase" vbProcedure="false">Endpoints!$A$1:$S$47</definedName>
    <definedName function="false" hidden="true" localSheetId="3" name="_xlnm._FilterDatabase" vbProcedure="false">Registers!$A$1:$I$21</definedName>
    <definedName function="false" hidden="true" localSheetId="2" name="_xlnm._FilterDatabase" vbProcedure="false">Servers!$A$1:$S$27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<sst xmlns="http://schemas.openxmlformats.org/spreadsheetml/2006/main" count="1360" uniqueCount="530">
  <si>
    <t xml:space="preserve">Company Asset Inventory - Summary (SAMPLE DATA)</t>
  </si>
  <si>
    <t xml:space="preserve">All figures below are live formulas over the Endpoints, Servers and Registers sheets. Data is fictional.</t>
  </si>
  <si>
    <t xml:space="preserve">Endpoints by OS</t>
  </si>
  <si>
    <t xml:space="preserve">OS Family</t>
  </si>
  <si>
    <t xml:space="preserve">Total</t>
  </si>
  <si>
    <t xml:space="preserve">Active</t>
  </si>
  <si>
    <t xml:space="preserve">No EDR</t>
  </si>
  <si>
    <t xml:space="preserve">Not Encrypted</t>
  </si>
  <si>
    <t xml:space="preserve">Windows</t>
  </si>
  <si>
    <t xml:space="preserve">macOS</t>
  </si>
  <si>
    <t xml:space="preserve">Linux</t>
  </si>
  <si>
    <t xml:space="preserve">Servers by OS</t>
  </si>
  <si>
    <t xml:space="preserve">Production</t>
  </si>
  <si>
    <t xml:space="preserve">Tier 0/1</t>
  </si>
  <si>
    <t xml:space="preserve">Not Patched</t>
  </si>
  <si>
    <t xml:space="preserve">Windows Server</t>
  </si>
  <si>
    <t xml:space="preserve">Registers</t>
  </si>
  <si>
    <t xml:space="preserve">Category</t>
  </si>
  <si>
    <t xml:space="preserve">Items</t>
  </si>
  <si>
    <t xml:space="preserve">Annual Cost (INR)</t>
  </si>
  <si>
    <t xml:space="preserve">Software License</t>
  </si>
  <si>
    <t xml:space="preserve">Network Device</t>
  </si>
  <si>
    <t xml:space="preserve">Cloud Account</t>
  </si>
  <si>
    <t xml:space="preserve">Mobile Device</t>
  </si>
  <si>
    <t xml:space="preserve">Domain / Certificate</t>
  </si>
  <si>
    <t xml:space="preserve">Grand total assets (endpoints + servers)</t>
  </si>
  <si>
    <t xml:space="preserve">Endpoints not seen in 30+ days</t>
  </si>
  <si>
    <t xml:space="preserve">Report date (assumption: fixed sample date)</t>
  </si>
  <si>
    <t xml:space="preserve">Asset ID</t>
  </si>
  <si>
    <t xml:space="preserve">Hostname</t>
  </si>
  <si>
    <t xml:space="preserve">Type</t>
  </si>
  <si>
    <t xml:space="preserve">OS Version</t>
  </si>
  <si>
    <t xml:space="preserve">Model</t>
  </si>
  <si>
    <t xml:space="preserve">Serial Number</t>
  </si>
  <si>
    <t xml:space="preserve">IP Address</t>
  </si>
  <si>
    <t xml:space="preserve">MAC Address</t>
  </si>
  <si>
    <t xml:space="preserve">Owner</t>
  </si>
  <si>
    <t xml:space="preserve">Department</t>
  </si>
  <si>
    <t xml:space="preserve">Location</t>
  </si>
  <si>
    <t xml:space="preserve">Status</t>
  </si>
  <si>
    <t xml:space="preserve">Purchase Date</t>
  </si>
  <si>
    <t xml:space="preserve">Warranty End</t>
  </si>
  <si>
    <t xml:space="preserve">EDR Agent</t>
  </si>
  <si>
    <t xml:space="preserve">MDM / Mgmt</t>
  </si>
  <si>
    <t xml:space="preserve">Disk Encrypted</t>
  </si>
  <si>
    <t xml:space="preserve">Last Seen</t>
  </si>
  <si>
    <t xml:space="preserve">AST-0001</t>
  </si>
  <si>
    <t xml:space="preserve">WIN-1409</t>
  </si>
  <si>
    <t xml:space="preserve">Laptop</t>
  </si>
  <si>
    <t xml:space="preserve">Windows 10 22H2</t>
  </si>
  <si>
    <t xml:space="preserve">HP EliteBook 840 G10</t>
  </si>
  <si>
    <t xml:space="preserve">SN42868828</t>
  </si>
  <si>
    <t xml:space="preserve">10.24.35.190</t>
  </si>
  <si>
    <t xml:space="preserve">A5:F4:21:85:AB:64</t>
  </si>
  <si>
    <t xml:space="preserve">Aarav Mehta</t>
  </si>
  <si>
    <t xml:space="preserve">Engineering</t>
  </si>
  <si>
    <t xml:space="preserve">Bengaluru HQ</t>
  </si>
  <si>
    <t xml:space="preserve">CrowdStrike Falcon</t>
  </si>
  <si>
    <t xml:space="preserve">Intune</t>
  </si>
  <si>
    <t xml:space="preserve">Yes</t>
  </si>
  <si>
    <t xml:space="preserve">AST-0002</t>
  </si>
  <si>
    <t xml:space="preserve">WIN-4257</t>
  </si>
  <si>
    <t xml:space="preserve">Lenovo ThinkPad T14</t>
  </si>
  <si>
    <t xml:space="preserve">SN83140807</t>
  </si>
  <si>
    <t xml:space="preserve">10.36.56.116</t>
  </si>
  <si>
    <t xml:space="preserve">E2:01:99:64:AB:53</t>
  </si>
  <si>
    <t xml:space="preserve">Vikram Rao</t>
  </si>
  <si>
    <t xml:space="preserve">HR</t>
  </si>
  <si>
    <t xml:space="preserve">Mumbai</t>
  </si>
  <si>
    <t xml:space="preserve">AST-0003</t>
  </si>
  <si>
    <t xml:space="preserve">WIN-6881</t>
  </si>
  <si>
    <t xml:space="preserve">Windows 11 24H2</t>
  </si>
  <si>
    <t xml:space="preserve">SN45503389</t>
  </si>
  <si>
    <t xml:space="preserve">10.12.186.119</t>
  </si>
  <si>
    <t xml:space="preserve">4A:3A:80:47:AB:90</t>
  </si>
  <si>
    <t xml:space="preserve">Divya Menon</t>
  </si>
  <si>
    <t xml:space="preserve">Security</t>
  </si>
  <si>
    <t xml:space="preserve">Pune</t>
  </si>
  <si>
    <t xml:space="preserve">AST-0004</t>
  </si>
  <si>
    <t xml:space="preserve">WIN-5741</t>
  </si>
  <si>
    <t xml:space="preserve">Windows 11 23H2</t>
  </si>
  <si>
    <t xml:space="preserve">Dell Latitude 5440</t>
  </si>
  <si>
    <t xml:space="preserve">SN23556182</t>
  </si>
  <si>
    <t xml:space="preserve">10.34.71.118</t>
  </si>
  <si>
    <t xml:space="preserve">5C:1C:55:36:AB:95</t>
  </si>
  <si>
    <t xml:space="preserve">Finance</t>
  </si>
  <si>
    <t xml:space="preserve">AST-0005</t>
  </si>
  <si>
    <t xml:space="preserve">WIN-7216</t>
  </si>
  <si>
    <t xml:space="preserve">SN84752529</t>
  </si>
  <si>
    <t xml:space="preserve">10.24.175.85</t>
  </si>
  <si>
    <t xml:space="preserve">0B:0C:61:44:AB:18</t>
  </si>
  <si>
    <t xml:space="preserve">Sneha Iyer</t>
  </si>
  <si>
    <t xml:space="preserve">AST-0006</t>
  </si>
  <si>
    <t xml:space="preserve">WIN-3287</t>
  </si>
  <si>
    <t xml:space="preserve">SN85345555</t>
  </si>
  <si>
    <t xml:space="preserve">10.44.67.193</t>
  </si>
  <si>
    <t xml:space="preserve">E3:E3:56:38:AB:27</t>
  </si>
  <si>
    <t xml:space="preserve">Imran Khan</t>
  </si>
  <si>
    <t xml:space="preserve">Legal</t>
  </si>
  <si>
    <t xml:space="preserve">AST-0007</t>
  </si>
  <si>
    <t xml:space="preserve">WIN-7916</t>
  </si>
  <si>
    <t xml:space="preserve">SN61642594</t>
  </si>
  <si>
    <t xml:space="preserve">10.34.152.121</t>
  </si>
  <si>
    <t xml:space="preserve">42:40:97:24:AB:97</t>
  </si>
  <si>
    <t xml:space="preserve">IT Ops</t>
  </si>
  <si>
    <t xml:space="preserve">Remote</t>
  </si>
  <si>
    <t xml:space="preserve">AST-0008</t>
  </si>
  <si>
    <t xml:space="preserve">WIN-8433</t>
  </si>
  <si>
    <t xml:space="preserve">SN45351479</t>
  </si>
  <si>
    <t xml:space="preserve">10.42.195.47</t>
  </si>
  <si>
    <t xml:space="preserve">4A:52:91:74:AB:87</t>
  </si>
  <si>
    <t xml:space="preserve">Delhi NCR</t>
  </si>
  <si>
    <t xml:space="preserve">AST-0009</t>
  </si>
  <si>
    <t xml:space="preserve">WIN-6310</t>
  </si>
  <si>
    <t xml:space="preserve">SN25014631</t>
  </si>
  <si>
    <t xml:space="preserve">10.33.224.254</t>
  </si>
  <si>
    <t xml:space="preserve">2B:0B:82:20:AB:20</t>
  </si>
  <si>
    <t xml:space="preserve">Meera Pillai</t>
  </si>
  <si>
    <t xml:space="preserve">AST-0010</t>
  </si>
  <si>
    <t xml:space="preserve">WIN-5342</t>
  </si>
  <si>
    <t xml:space="preserve">SN66792612</t>
  </si>
  <si>
    <t xml:space="preserve">10.23.237.140</t>
  </si>
  <si>
    <t xml:space="preserve">FF:BF:49:61:AB:95</t>
  </si>
  <si>
    <t xml:space="preserve">Anita Das</t>
  </si>
  <si>
    <t xml:space="preserve">AST-0011</t>
  </si>
  <si>
    <t xml:space="preserve">WIN-6539</t>
  </si>
  <si>
    <t xml:space="preserve">SN84346088</t>
  </si>
  <si>
    <t xml:space="preserve">10.24.150.58</t>
  </si>
  <si>
    <t xml:space="preserve">0A:F5:17:39:AB:18</t>
  </si>
  <si>
    <t xml:space="preserve">In Repair</t>
  </si>
  <si>
    <t xml:space="preserve">AST-0012</t>
  </si>
  <si>
    <t xml:space="preserve">WIN-4510</t>
  </si>
  <si>
    <t xml:space="preserve">SN86644106</t>
  </si>
  <si>
    <t xml:space="preserve">10.46.121.64</t>
  </si>
  <si>
    <t xml:space="preserve">D3:BA:22:94:AB:65</t>
  </si>
  <si>
    <t xml:space="preserve">Marketing</t>
  </si>
  <si>
    <t xml:space="preserve">Hyderabad</t>
  </si>
  <si>
    <t xml:space="preserve">AST-0013</t>
  </si>
  <si>
    <t xml:space="preserve">WIN-6559</t>
  </si>
  <si>
    <t xml:space="preserve">SN35714784</t>
  </si>
  <si>
    <t xml:space="preserve">10.22.137.116</t>
  </si>
  <si>
    <t xml:space="preserve">13:12:69:41:AB:19</t>
  </si>
  <si>
    <t xml:space="preserve">AST-0014</t>
  </si>
  <si>
    <t xml:space="preserve">WIN-7658</t>
  </si>
  <si>
    <t xml:space="preserve">SN38688676</t>
  </si>
  <si>
    <t xml:space="preserve">10.35.231.17</t>
  </si>
  <si>
    <t xml:space="preserve">13:03:43:68:AB:46</t>
  </si>
  <si>
    <t xml:space="preserve">Karan Shah</t>
  </si>
  <si>
    <t xml:space="preserve">AST-0015</t>
  </si>
  <si>
    <t xml:space="preserve">WIN-9883</t>
  </si>
  <si>
    <t xml:space="preserve">SN52091325</t>
  </si>
  <si>
    <t xml:space="preserve">10.13.12.151</t>
  </si>
  <si>
    <t xml:space="preserve">D4:41:17:75:AB:20</t>
  </si>
  <si>
    <t xml:space="preserve">Rohan Gupta</t>
  </si>
  <si>
    <t xml:space="preserve">AST-0016</t>
  </si>
  <si>
    <t xml:space="preserve">WIN-5033</t>
  </si>
  <si>
    <t xml:space="preserve">SN15334035</t>
  </si>
  <si>
    <t xml:space="preserve">10.49.20.109</t>
  </si>
  <si>
    <t xml:space="preserve">5E:E4:50:43:AB:36</t>
  </si>
  <si>
    <t xml:space="preserve">Sales</t>
  </si>
  <si>
    <t xml:space="preserve">AST-0017</t>
  </si>
  <si>
    <t xml:space="preserve">WIN-2188</t>
  </si>
  <si>
    <t xml:space="preserve">SN93370583</t>
  </si>
  <si>
    <t xml:space="preserve">10.46.25.20</t>
  </si>
  <si>
    <t xml:space="preserve">4B:42:26:54:AB:18</t>
  </si>
  <si>
    <t xml:space="preserve">AST-0018</t>
  </si>
  <si>
    <t xml:space="preserve">WIN-9666</t>
  </si>
  <si>
    <t xml:space="preserve">SN84437458</t>
  </si>
  <si>
    <t xml:space="preserve">10.29.238.171</t>
  </si>
  <si>
    <t xml:space="preserve">A1:2A:23:80:AB:29</t>
  </si>
  <si>
    <t xml:space="preserve">AST-0019</t>
  </si>
  <si>
    <t xml:space="preserve">WIN-5325</t>
  </si>
  <si>
    <t xml:space="preserve">SN43704923</t>
  </si>
  <si>
    <t xml:space="preserve">10.13.23.164</t>
  </si>
  <si>
    <t xml:space="preserve">32:00:52:26:AB:91</t>
  </si>
  <si>
    <t xml:space="preserve">AST-0020</t>
  </si>
  <si>
    <t xml:space="preserve">WIN-2832</t>
  </si>
  <si>
    <t xml:space="preserve">SN30005727</t>
  </si>
  <si>
    <t xml:space="preserve">10.44.9.215</t>
  </si>
  <si>
    <t xml:space="preserve">CE:41:65:26:AB:15</t>
  </si>
  <si>
    <t xml:space="preserve">AST-0021</t>
  </si>
  <si>
    <t xml:space="preserve">WIN-6794</t>
  </si>
  <si>
    <t xml:space="preserve">SN93303777</t>
  </si>
  <si>
    <t xml:space="preserve">10.57.39.238</t>
  </si>
  <si>
    <t xml:space="preserve">B1:13:13:32:AB:52</t>
  </si>
  <si>
    <t xml:space="preserve">AST-0022</t>
  </si>
  <si>
    <t xml:space="preserve">WIN-4644</t>
  </si>
  <si>
    <t xml:space="preserve">SN56930359</t>
  </si>
  <si>
    <t xml:space="preserve">10.29.210.205</t>
  </si>
  <si>
    <t xml:space="preserve">BB:05:34:61:AB:52</t>
  </si>
  <si>
    <t xml:space="preserve">AST-0023</t>
  </si>
  <si>
    <t xml:space="preserve">WKS-6425</t>
  </si>
  <si>
    <t xml:space="preserve">Desktop</t>
  </si>
  <si>
    <t xml:space="preserve">Dell OptiPlex 7010</t>
  </si>
  <si>
    <t xml:space="preserve">SN45059710</t>
  </si>
  <si>
    <t xml:space="preserve">10.21.148.248</t>
  </si>
  <si>
    <t xml:space="preserve">20:AE:65:54:AB:50</t>
  </si>
  <si>
    <t xml:space="preserve">Retired</t>
  </si>
  <si>
    <t xml:space="preserve">AST-0024</t>
  </si>
  <si>
    <t xml:space="preserve">WKS-8144</t>
  </si>
  <si>
    <t xml:space="preserve">SN58884978</t>
  </si>
  <si>
    <t xml:space="preserve">10.37.17.244</t>
  </si>
  <si>
    <t xml:space="preserve">5C:EC:94:25:AB:48</t>
  </si>
  <si>
    <t xml:space="preserve">AST-0025</t>
  </si>
  <si>
    <t xml:space="preserve">WKS-3085</t>
  </si>
  <si>
    <t xml:space="preserve">HP ProDesk 400 G9</t>
  </si>
  <si>
    <t xml:space="preserve">SN99245317</t>
  </si>
  <si>
    <t xml:space="preserve">10.34.173.193</t>
  </si>
  <si>
    <t xml:space="preserve">1E:E2:61:80:AB:10</t>
  </si>
  <si>
    <t xml:space="preserve">Not Installed</t>
  </si>
  <si>
    <t xml:space="preserve">No</t>
  </si>
  <si>
    <t xml:space="preserve">AST-0026</t>
  </si>
  <si>
    <t xml:space="preserve">WKS-8618</t>
  </si>
  <si>
    <t xml:space="preserve">SN38682516</t>
  </si>
  <si>
    <t xml:space="preserve">10.42.121.205</t>
  </si>
  <si>
    <t xml:space="preserve">F1:5A:46:75:AB:94</t>
  </si>
  <si>
    <t xml:space="preserve">AST-0027</t>
  </si>
  <si>
    <t xml:space="preserve">MAC-1400</t>
  </si>
  <si>
    <t xml:space="preserve">macOS 14 Sonoma</t>
  </si>
  <si>
    <t xml:space="preserve">MacBook Pro 14 M3</t>
  </si>
  <si>
    <t xml:space="preserve">SN73771720</t>
  </si>
  <si>
    <t xml:space="preserve">10.49.217.198</t>
  </si>
  <si>
    <t xml:space="preserve">AD:35:83:34:AB:99</t>
  </si>
  <si>
    <t xml:space="preserve">JAMF</t>
  </si>
  <si>
    <t xml:space="preserve">AST-0028</t>
  </si>
  <si>
    <t xml:space="preserve">MAC-4585</t>
  </si>
  <si>
    <t xml:space="preserve">MacBook Pro 16 M3 Pro</t>
  </si>
  <si>
    <t xml:space="preserve">SN79519112</t>
  </si>
  <si>
    <t xml:space="preserve">10.39.12.144</t>
  </si>
  <si>
    <t xml:space="preserve">BA:D1:69:95:AB:77</t>
  </si>
  <si>
    <t xml:space="preserve">AST-0029</t>
  </si>
  <si>
    <t xml:space="preserve">MAC-3607</t>
  </si>
  <si>
    <t xml:space="preserve">macOS 26 Tahoe</t>
  </si>
  <si>
    <t xml:space="preserve">MacBook Air 13 M2</t>
  </si>
  <si>
    <t xml:space="preserve">SN70407340</t>
  </si>
  <si>
    <t xml:space="preserve">10.26.192.65</t>
  </si>
  <si>
    <t xml:space="preserve">52:4D:90:40:AB:45</t>
  </si>
  <si>
    <t xml:space="preserve">AST-0030</t>
  </si>
  <si>
    <t xml:space="preserve">MAC-9849</t>
  </si>
  <si>
    <t xml:space="preserve">SN30244148</t>
  </si>
  <si>
    <t xml:space="preserve">10.24.98.179</t>
  </si>
  <si>
    <t xml:space="preserve">1F:BA:63:62:AB:52</t>
  </si>
  <si>
    <t xml:space="preserve">AST-0031</t>
  </si>
  <si>
    <t xml:space="preserve">MAC-1320</t>
  </si>
  <si>
    <t xml:space="preserve">SN74019136</t>
  </si>
  <si>
    <t xml:space="preserve">10.10.241.92</t>
  </si>
  <si>
    <t xml:space="preserve">23:34:79:87:AB:38</t>
  </si>
  <si>
    <t xml:space="preserve">AST-0032</t>
  </si>
  <si>
    <t xml:space="preserve">MAC-7624</t>
  </si>
  <si>
    <t xml:space="preserve">SN72732043</t>
  </si>
  <si>
    <t xml:space="preserve">10.18.251.161</t>
  </si>
  <si>
    <t xml:space="preserve">40:3E:82:94:AB:13</t>
  </si>
  <si>
    <t xml:space="preserve">Priya Nair</t>
  </si>
  <si>
    <t xml:space="preserve">AST-0033</t>
  </si>
  <si>
    <t xml:space="preserve">MAC-6363</t>
  </si>
  <si>
    <t xml:space="preserve">SN53868501</t>
  </si>
  <si>
    <t xml:space="preserve">10.31.194.227</t>
  </si>
  <si>
    <t xml:space="preserve">32:32:20:70:AB:12</t>
  </si>
  <si>
    <t xml:space="preserve">AST-0034</t>
  </si>
  <si>
    <t xml:space="preserve">MAC-4266</t>
  </si>
  <si>
    <t xml:space="preserve">SN30452412</t>
  </si>
  <si>
    <t xml:space="preserve">10.25.32.123</t>
  </si>
  <si>
    <t xml:space="preserve">5A:EB:69:99:AB:42</t>
  </si>
  <si>
    <t xml:space="preserve">AST-0035</t>
  </si>
  <si>
    <t xml:space="preserve">MAC-1420</t>
  </si>
  <si>
    <t xml:space="preserve">macOS 15 Sequoia</t>
  </si>
  <si>
    <t xml:space="preserve">SN60372847</t>
  </si>
  <si>
    <t xml:space="preserve">10.35.241.185</t>
  </si>
  <si>
    <t xml:space="preserve">BA:EF:90:41:AB:23</t>
  </si>
  <si>
    <t xml:space="preserve">AST-0036</t>
  </si>
  <si>
    <t xml:space="preserve">MAC-7071</t>
  </si>
  <si>
    <t xml:space="preserve">SN96911784</t>
  </si>
  <si>
    <t xml:space="preserve">10.31.3.219</t>
  </si>
  <si>
    <t xml:space="preserve">3D:A3:56:91:AB:68</t>
  </si>
  <si>
    <t xml:space="preserve">AST-0037</t>
  </si>
  <si>
    <t xml:space="preserve">MAC-8616</t>
  </si>
  <si>
    <t xml:space="preserve">SN89520597</t>
  </si>
  <si>
    <t xml:space="preserve">10.27.82.220</t>
  </si>
  <si>
    <t xml:space="preserve">BA:2D:41:69:AB:82</t>
  </si>
  <si>
    <t xml:space="preserve">AST-0038</t>
  </si>
  <si>
    <t xml:space="preserve">MAC-4475</t>
  </si>
  <si>
    <t xml:space="preserve">SN55679506</t>
  </si>
  <si>
    <t xml:space="preserve">10.27.225.154</t>
  </si>
  <si>
    <t xml:space="preserve">F2:40:76:34:AB:20</t>
  </si>
  <si>
    <t xml:space="preserve">AST-0039</t>
  </si>
  <si>
    <t xml:space="preserve">MAC-9041</t>
  </si>
  <si>
    <t xml:space="preserve">SN22489409</t>
  </si>
  <si>
    <t xml:space="preserve">10.28.56.105</t>
  </si>
  <si>
    <t xml:space="preserve">FB:25:84:57:AB:70</t>
  </si>
  <si>
    <t xml:space="preserve">AST-0040</t>
  </si>
  <si>
    <t xml:space="preserve">MAC-5438</t>
  </si>
  <si>
    <t xml:space="preserve">SN40942292</t>
  </si>
  <si>
    <t xml:space="preserve">10.17.184.51</t>
  </si>
  <si>
    <t xml:space="preserve">CA:F4:98:33:AB:34</t>
  </si>
  <si>
    <t xml:space="preserve">AST-0041</t>
  </si>
  <si>
    <t xml:space="preserve">LNX-4180</t>
  </si>
  <si>
    <t xml:space="preserve">Ubuntu 24.04 LTS</t>
  </si>
  <si>
    <t xml:space="preserve">Dell XPS 15</t>
  </si>
  <si>
    <t xml:space="preserve">SN58436637</t>
  </si>
  <si>
    <t xml:space="preserve">10.21.77.5</t>
  </si>
  <si>
    <t xml:space="preserve">F4:12:15:16:AB:80</t>
  </si>
  <si>
    <t xml:space="preserve">Ansible</t>
  </si>
  <si>
    <t xml:space="preserve">AST-0042</t>
  </si>
  <si>
    <t xml:space="preserve">LNX-8690</t>
  </si>
  <si>
    <t xml:space="preserve">ThinkPad X1 Carbon</t>
  </si>
  <si>
    <t xml:space="preserve">SN55728776</t>
  </si>
  <si>
    <t xml:space="preserve">10.21.247.15</t>
  </si>
  <si>
    <t xml:space="preserve">2D:AA:61:72:AB:19</t>
  </si>
  <si>
    <t xml:space="preserve">AST-0043</t>
  </si>
  <si>
    <t xml:space="preserve">LNX-2940</t>
  </si>
  <si>
    <t xml:space="preserve">Fedora 40</t>
  </si>
  <si>
    <t xml:space="preserve">SN91378577</t>
  </si>
  <si>
    <t xml:space="preserve">10.48.202.160</t>
  </si>
  <si>
    <t xml:space="preserve">B4:3D:66:48:AB:85</t>
  </si>
  <si>
    <t xml:space="preserve">AST-0044</t>
  </si>
  <si>
    <t xml:space="preserve">LNX-4457</t>
  </si>
  <si>
    <t xml:space="preserve">System76 Lemur Pro</t>
  </si>
  <si>
    <t xml:space="preserve">SN20896797</t>
  </si>
  <si>
    <t xml:space="preserve">10.20.61.46</t>
  </si>
  <si>
    <t xml:space="preserve">4A:10:62:67:AB:98</t>
  </si>
  <si>
    <t xml:space="preserve">AST-0045</t>
  </si>
  <si>
    <t xml:space="preserve">LNX-8438</t>
  </si>
  <si>
    <t xml:space="preserve">Ubuntu 22.04 LTS</t>
  </si>
  <si>
    <t xml:space="preserve">SN41329612</t>
  </si>
  <si>
    <t xml:space="preserve">10.26.201.204</t>
  </si>
  <si>
    <t xml:space="preserve">5E:5B:64:24:AB:79</t>
  </si>
  <si>
    <t xml:space="preserve">AST-0046</t>
  </si>
  <si>
    <t xml:space="preserve">LNX-5728</t>
  </si>
  <si>
    <t xml:space="preserve">SN72907576</t>
  </si>
  <si>
    <t xml:space="preserve">10.54.77.181</t>
  </si>
  <si>
    <t xml:space="preserve">32:44:73:66:AB:20</t>
  </si>
  <si>
    <t xml:space="preserve">Role</t>
  </si>
  <si>
    <t xml:space="preserve">Platform</t>
  </si>
  <si>
    <t xml:space="preserve">Environment</t>
  </si>
  <si>
    <t xml:space="preserve">vCPU</t>
  </si>
  <si>
    <t xml:space="preserve">RAM (GB)</t>
  </si>
  <si>
    <t xml:space="preserve">Data Center / Region</t>
  </si>
  <si>
    <t xml:space="preserve">Owning Team</t>
  </si>
  <si>
    <t xml:space="preserve">Criticality</t>
  </si>
  <si>
    <t xml:space="preserve">Patch Cadence</t>
  </si>
  <si>
    <t xml:space="preserve">Last Patched</t>
  </si>
  <si>
    <t xml:space="preserve">Backup</t>
  </si>
  <si>
    <t xml:space="preserve">SRV-0001</t>
  </si>
  <si>
    <t xml:space="preserve">WSRV-PRO-12</t>
  </si>
  <si>
    <t xml:space="preserve">File Server</t>
  </si>
  <si>
    <t xml:space="preserve">Windows Server 2016</t>
  </si>
  <si>
    <t xml:space="preserve">Physical - HPE DL380</t>
  </si>
  <si>
    <t xml:space="preserve">10.124.172.212</t>
  </si>
  <si>
    <t xml:space="preserve">AWS ap-south-1</t>
  </si>
  <si>
    <t xml:space="preserve">Tier 2</t>
  </si>
  <si>
    <t xml:space="preserve">Commvault</t>
  </si>
  <si>
    <t xml:space="preserve">SRV-0002</t>
  </si>
  <si>
    <t xml:space="preserve">WSRV-DEV-82</t>
  </si>
  <si>
    <t xml:space="preserve">IIS Web Server</t>
  </si>
  <si>
    <t xml:space="preserve">Windows Server 2019</t>
  </si>
  <si>
    <t xml:space="preserve">Physical - Dell R750</t>
  </si>
  <si>
    <t xml:space="preserve">Dev</t>
  </si>
  <si>
    <t xml:space="preserve">10.110.82.173</t>
  </si>
  <si>
    <t xml:space="preserve">Bengaluru DC</t>
  </si>
  <si>
    <t xml:space="preserve">Quarterly</t>
  </si>
  <si>
    <t xml:space="preserve">Veeam</t>
  </si>
  <si>
    <t xml:space="preserve">SRV-0003</t>
  </si>
  <si>
    <t xml:space="preserve">WSRV-PRO-41</t>
  </si>
  <si>
    <t xml:space="preserve">SQL Server</t>
  </si>
  <si>
    <t xml:space="preserve">Windows Server 2022</t>
  </si>
  <si>
    <t xml:space="preserve">VMware VM</t>
  </si>
  <si>
    <t xml:space="preserve">10.126.252.2</t>
  </si>
  <si>
    <t xml:space="preserve">Azure Central India</t>
  </si>
  <si>
    <t xml:space="preserve">Tier 1</t>
  </si>
  <si>
    <t xml:space="preserve">None</t>
  </si>
  <si>
    <t xml:space="preserve">SRV-0004</t>
  </si>
  <si>
    <t xml:space="preserve">WSRV-PRO-27</t>
  </si>
  <si>
    <t xml:space="preserve">AWS EC2</t>
  </si>
  <si>
    <t xml:space="preserve">10.128.178.126</t>
  </si>
  <si>
    <t xml:space="preserve">Monthly</t>
  </si>
  <si>
    <t xml:space="preserve">SRV-0005</t>
  </si>
  <si>
    <t xml:space="preserve">WSRV-DEV-12</t>
  </si>
  <si>
    <t xml:space="preserve">10.115.238.185</t>
  </si>
  <si>
    <t xml:space="preserve">SRV-0006</t>
  </si>
  <si>
    <t xml:space="preserve">WSRV-PRO-77</t>
  </si>
  <si>
    <t xml:space="preserve">Print Server</t>
  </si>
  <si>
    <t xml:space="preserve">10.124.202.220</t>
  </si>
  <si>
    <t xml:space="preserve">SRV-0007</t>
  </si>
  <si>
    <t xml:space="preserve">WSRV-DEV-69</t>
  </si>
  <si>
    <t xml:space="preserve">Azure VM</t>
  </si>
  <si>
    <t xml:space="preserve">10.112.116.240</t>
  </si>
  <si>
    <t xml:space="preserve">Tier 3</t>
  </si>
  <si>
    <t xml:space="preserve">SRV-0008</t>
  </si>
  <si>
    <t xml:space="preserve">WSRV-DEV-91</t>
  </si>
  <si>
    <t xml:space="preserve">10.104.128.249</t>
  </si>
  <si>
    <t xml:space="preserve">Tier 0</t>
  </si>
  <si>
    <t xml:space="preserve">SRV-0009</t>
  </si>
  <si>
    <t xml:space="preserve">WSRV-DEV-84</t>
  </si>
  <si>
    <t xml:space="preserve">10.119.177.103</t>
  </si>
  <si>
    <t xml:space="preserve">Weekly</t>
  </si>
  <si>
    <t xml:space="preserve">Decommissioning</t>
  </si>
  <si>
    <t xml:space="preserve">SRV-0010</t>
  </si>
  <si>
    <t xml:space="preserve">WSRV-PRO-31</t>
  </si>
  <si>
    <t xml:space="preserve">10.124.162.182</t>
  </si>
  <si>
    <t xml:space="preserve">SRV-0011</t>
  </si>
  <si>
    <t xml:space="preserve">LSRV-UAT-48</t>
  </si>
  <si>
    <t xml:space="preserve">Kubernetes Node</t>
  </si>
  <si>
    <t xml:space="preserve">RHEL 9</t>
  </si>
  <si>
    <t xml:space="preserve">UAT</t>
  </si>
  <si>
    <t xml:space="preserve">10.118.174.204</t>
  </si>
  <si>
    <t xml:space="preserve">Mumbai DC</t>
  </si>
  <si>
    <t xml:space="preserve">SRV-0012</t>
  </si>
  <si>
    <t xml:space="preserve">LSRV-PRO-30</t>
  </si>
  <si>
    <t xml:space="preserve">10.128.205.121</t>
  </si>
  <si>
    <t xml:space="preserve">SRV-0013</t>
  </si>
  <si>
    <t xml:space="preserve">LSRV-DEV-39</t>
  </si>
  <si>
    <t xml:space="preserve">App Server</t>
  </si>
  <si>
    <t xml:space="preserve">Rocky Linux 9</t>
  </si>
  <si>
    <t xml:space="preserve">10.112.146.93</t>
  </si>
  <si>
    <t xml:space="preserve">SRV-0014</t>
  </si>
  <si>
    <t xml:space="preserve">LSRV-DEV-37</t>
  </si>
  <si>
    <t xml:space="preserve">10.108.173.195</t>
  </si>
  <si>
    <t xml:space="preserve">SRV-0015</t>
  </si>
  <si>
    <t xml:space="preserve">LSRV-PRO-38</t>
  </si>
  <si>
    <t xml:space="preserve">PostgreSQL DB</t>
  </si>
  <si>
    <t xml:space="preserve">10.125.138.226</t>
  </si>
  <si>
    <t xml:space="preserve">SRV-0016</t>
  </si>
  <si>
    <t xml:space="preserve">LSRV-DEV-10</t>
  </si>
  <si>
    <t xml:space="preserve">10.102.202.103</t>
  </si>
  <si>
    <t xml:space="preserve">SRV-0017</t>
  </si>
  <si>
    <t xml:space="preserve">LSRV-PRO-87</t>
  </si>
  <si>
    <t xml:space="preserve">10.110.234.158</t>
  </si>
  <si>
    <t xml:space="preserve">SRV-0018</t>
  </si>
  <si>
    <t xml:space="preserve">LSRV-UAT-64</t>
  </si>
  <si>
    <t xml:space="preserve">Web Server (nginx)</t>
  </si>
  <si>
    <t xml:space="preserve">RHEL 8</t>
  </si>
  <si>
    <t xml:space="preserve">10.112.116.96</t>
  </si>
  <si>
    <t xml:space="preserve">SRV-0019</t>
  </si>
  <si>
    <t xml:space="preserve">LSRV-UAT-28</t>
  </si>
  <si>
    <t xml:space="preserve">10.121.94.141</t>
  </si>
  <si>
    <t xml:space="preserve">SRV-0020</t>
  </si>
  <si>
    <t xml:space="preserve">LSRV-PRO-07</t>
  </si>
  <si>
    <t xml:space="preserve">10.102.212.197</t>
  </si>
  <si>
    <t xml:space="preserve">SRV-0021</t>
  </si>
  <si>
    <t xml:space="preserve">LSRV-PRO-17</t>
  </si>
  <si>
    <t xml:space="preserve">Jump Host</t>
  </si>
  <si>
    <t xml:space="preserve">10.104.3.93</t>
  </si>
  <si>
    <t xml:space="preserve">SRV-0022</t>
  </si>
  <si>
    <t xml:space="preserve">LSRV-PRO-96</t>
  </si>
  <si>
    <t xml:space="preserve">10.118.27.117</t>
  </si>
  <si>
    <t xml:space="preserve">SRV-0023</t>
  </si>
  <si>
    <t xml:space="preserve">LSRV-DEV-55</t>
  </si>
  <si>
    <t xml:space="preserve">Log Collector</t>
  </si>
  <si>
    <t xml:space="preserve">10.128.20.84</t>
  </si>
  <si>
    <t xml:space="preserve">SRV-0024</t>
  </si>
  <si>
    <t xml:space="preserve">LSRV-UAT-59</t>
  </si>
  <si>
    <t xml:space="preserve">10.123.221.57</t>
  </si>
  <si>
    <t xml:space="preserve">SRV-0025</t>
  </si>
  <si>
    <t xml:space="preserve">MSRV-DEV-41</t>
  </si>
  <si>
    <t xml:space="preserve">CI Build Runner</t>
  </si>
  <si>
    <t xml:space="preserve">macOS 14 Server Host</t>
  </si>
  <si>
    <t xml:space="preserve">10.130.39.177</t>
  </si>
  <si>
    <t xml:space="preserve">SRV-0026</t>
  </si>
  <si>
    <t xml:space="preserve">MSRV-DEV-76</t>
  </si>
  <si>
    <t xml:space="preserve">10.127.170.242</t>
  </si>
  <si>
    <t xml:space="preserve">Register ID</t>
  </si>
  <si>
    <t xml:space="preserve">Item</t>
  </si>
  <si>
    <t xml:space="preserve">Vendor</t>
  </si>
  <si>
    <t xml:space="preserve">Quantity</t>
  </si>
  <si>
    <t xml:space="preserve">Renewal / Expiry</t>
  </si>
  <si>
    <t xml:space="preserve">Notes</t>
  </si>
  <si>
    <t xml:space="preserve">REG-0001</t>
  </si>
  <si>
    <t xml:space="preserve">Microsoft 365 E5</t>
  </si>
  <si>
    <t xml:space="preserve">Microsoft</t>
  </si>
  <si>
    <t xml:space="preserve">Per-user annual (qty x unit price)</t>
  </si>
  <si>
    <t xml:space="preserve">REG-0002</t>
  </si>
  <si>
    <t xml:space="preserve">CrowdStrike Falcon Prevent</t>
  </si>
  <si>
    <t xml:space="preserve">CrowdStrike</t>
  </si>
  <si>
    <t xml:space="preserve">REG-0003</t>
  </si>
  <si>
    <t xml:space="preserve">JAMF Pro</t>
  </si>
  <si>
    <t xml:space="preserve">REG-0004</t>
  </si>
  <si>
    <t xml:space="preserve">Slack Enterprise</t>
  </si>
  <si>
    <t xml:space="preserve">Salesforce</t>
  </si>
  <si>
    <t xml:space="preserve">REG-0005</t>
  </si>
  <si>
    <t xml:space="preserve">Atlassian Jira Cloud</t>
  </si>
  <si>
    <t xml:space="preserve">Atlassian</t>
  </si>
  <si>
    <t xml:space="preserve">REG-0006</t>
  </si>
  <si>
    <t xml:space="preserve">GitHub Enterprise</t>
  </si>
  <si>
    <t xml:space="preserve">GitHub</t>
  </si>
  <si>
    <t xml:space="preserve">REG-0007</t>
  </si>
  <si>
    <t xml:space="preserve">Zoom Business</t>
  </si>
  <si>
    <t xml:space="preserve">Zoom</t>
  </si>
  <si>
    <t xml:space="preserve">REG-0008</t>
  </si>
  <si>
    <t xml:space="preserve">Okta Workforce Identity</t>
  </si>
  <si>
    <t xml:space="preserve">Okta</t>
  </si>
  <si>
    <t xml:space="preserve">REG-0009</t>
  </si>
  <si>
    <t xml:space="preserve">Palo Alto PA-3410 Firewall</t>
  </si>
  <si>
    <t xml:space="preserve">Palo Alto Networks</t>
  </si>
  <si>
    <t xml:space="preserve">Support contract end date shown</t>
  </si>
  <si>
    <t xml:space="preserve">REG-0010</t>
  </si>
  <si>
    <t xml:space="preserve">Cisco Catalyst 9300 Switch</t>
  </si>
  <si>
    <t xml:space="preserve">Cisco</t>
  </si>
  <si>
    <t xml:space="preserve">REG-0011</t>
  </si>
  <si>
    <t xml:space="preserve">Aruba AP-535 Access Point</t>
  </si>
  <si>
    <t xml:space="preserve">HPE Aruba</t>
  </si>
  <si>
    <t xml:space="preserve">REG-0012</t>
  </si>
  <si>
    <t xml:space="preserve">F5 BIG-IP LTM</t>
  </si>
  <si>
    <t xml:space="preserve">F5</t>
  </si>
  <si>
    <t xml:space="preserve">REG-0013</t>
  </si>
  <si>
    <t xml:space="preserve">AWS Account - Prod</t>
  </si>
  <si>
    <t xml:space="preserve">AWS</t>
  </si>
  <si>
    <t xml:space="preserve">Pay-as-you-go</t>
  </si>
  <si>
    <t xml:space="preserve">Monthly billing</t>
  </si>
  <si>
    <t xml:space="preserve">REG-0014</t>
  </si>
  <si>
    <t xml:space="preserve">AWS Account - Dev</t>
  </si>
  <si>
    <t xml:space="preserve">REG-0015</t>
  </si>
  <si>
    <t xml:space="preserve">Azure Subscription - Corp</t>
  </si>
  <si>
    <t xml:space="preserve">REG-0016</t>
  </si>
  <si>
    <t xml:space="preserve">Cloudflare Enterprise</t>
  </si>
  <si>
    <t xml:space="preserve">Cloudflare</t>
  </si>
  <si>
    <t xml:space="preserve">REG-0017</t>
  </si>
  <si>
    <t xml:space="preserve">iPhone 15 (corporate)</t>
  </si>
  <si>
    <t xml:space="preserve">Apple</t>
  </si>
  <si>
    <t xml:space="preserve">N/A</t>
  </si>
  <si>
    <t xml:space="preserve">Managed via Intune</t>
  </si>
  <si>
    <t xml:space="preserve">REG-0018</t>
  </si>
  <si>
    <t xml:space="preserve">Samsung Galaxy S24 (corporate)</t>
  </si>
  <si>
    <t xml:space="preserve">Samsung</t>
  </si>
  <si>
    <t xml:space="preserve">REG-0019</t>
  </si>
  <si>
    <t xml:space="preserve">*.example-corp.com wildcard cert</t>
  </si>
  <si>
    <t xml:space="preserve">DigiCert</t>
  </si>
  <si>
    <t xml:space="preserve">Auto-renew off</t>
  </si>
  <si>
    <t xml:space="preserve">REG-0020</t>
  </si>
  <si>
    <t xml:space="preserve">example-corp.com domain</t>
  </si>
  <si>
    <t xml:space="preserve">GoDaddy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</si>
</sst>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s">
        <v>8</v>
      </c>
      <c r="B6" s="5" t="n">
        <f aca="false">COUNTIF(Endpoints!$D:$D,A6)</f>
        <v>26</v>
      </c>
      <c r="C6" s="5" t="n">
        <f aca="false">COUNTIFS(Endpoints!$D:$D,A6,Endpoints!$M:$M,"Active")</f>
        <v>23</v>
      </c>
      <c r="D6" s="5" t="n">
        <f aca="false">COUNTIFS(Endpoints!$D:$D,A6,Endpoints!$P:$P,"Not Installed")</f>
        <v>1</v>
      </c>
      <c r="E6" s="5" t="n">
        <f aca="false">COUNTIFS(Endpoints!$D:$D,A6,Endpoints!$R:$R,"No")</f>
        <v>1</v>
      </c>
    </row>
    <row r="7" customFormat="false" ht="15" hidden="false" customHeight="false" outlineLevel="0" collapsed="false">
      <c r="A7" s="5" t="s">
        <v>9</v>
      </c>
      <c r="B7" s="5" t="n">
        <f aca="false">COUNTIF(Endpoints!$D:$D,A7)</f>
        <v>14</v>
      </c>
      <c r="C7" s="5" t="n">
        <f aca="false">COUNTIFS(Endpoints!$D:$D,A7,Endpoints!$M:$M,"Active")</f>
        <v>8</v>
      </c>
      <c r="D7" s="5" t="n">
        <f aca="false">COUNTIFS(Endpoints!$D:$D,A7,Endpoints!$P:$P,"Not Installed")</f>
        <v>0</v>
      </c>
      <c r="E7" s="5" t="n">
        <f aca="false">COUNTIFS(Endpoints!$D:$D,A7,Endpoints!$R:$R,"No")</f>
        <v>2</v>
      </c>
    </row>
    <row r="8" customFormat="false" ht="15" hidden="false" customHeight="false" outlineLevel="0" collapsed="false">
      <c r="A8" s="5" t="s">
        <v>10</v>
      </c>
      <c r="B8" s="5" t="n">
        <f aca="false">COUNTIF(Endpoints!$D:$D,A8)</f>
        <v>6</v>
      </c>
      <c r="C8" s="5" t="n">
        <f aca="false">COUNTIFS(Endpoints!$D:$D,A8,Endpoints!$M:$M,"Active")</f>
        <v>5</v>
      </c>
      <c r="D8" s="5" t="n">
        <f aca="false">COUNTIFS(Endpoints!$D:$D,A8,Endpoints!$P:$P,"Not Installed")</f>
        <v>2</v>
      </c>
      <c r="E8" s="5" t="n">
        <f aca="false">COUNTIFS(Endpoints!$D:$D,A8,Endpoints!$R:$R,"No")</f>
        <v>1</v>
      </c>
    </row>
    <row r="9" customFormat="false" ht="15" hidden="false" customHeight="false" outlineLevel="0" collapsed="false">
      <c r="A9" s="6" t="s">
        <v>4</v>
      </c>
      <c r="B9" s="6" t="n">
        <f aca="false">SUM(B6:B8)</f>
        <v>46</v>
      </c>
      <c r="C9" s="6" t="n">
        <f aca="false">SUM(C6:C8)</f>
        <v>36</v>
      </c>
      <c r="D9" s="6" t="n">
        <f aca="false">SUM(D6:D8)</f>
        <v>3</v>
      </c>
      <c r="E9" s="6" t="n">
        <f aca="false">SUM(E6:E8)</f>
        <v>4</v>
      </c>
    </row>
    <row r="11" customFormat="false" ht="15" hidden="false" customHeight="false" outlineLevel="0" collapsed="false">
      <c r="A11" s="7" t="s">
        <v>11</v>
      </c>
    </row>
    <row r="12" customFormat="false" ht="15" hidden="false" customHeight="false" outlineLevel="0" collapsed="false">
      <c r="A12" s="4" t="s">
        <v>3</v>
      </c>
      <c r="B12" s="4" t="s">
        <v>4</v>
      </c>
      <c r="C12" s="4" t="s">
        <v>12</v>
      </c>
      <c r="D12" s="4" t="s">
        <v>13</v>
      </c>
      <c r="E12" s="4" t="s">
        <v>6</v>
      </c>
      <c r="F12" s="4" t="s">
        <v>14</v>
      </c>
    </row>
    <row r="13" customFormat="false" ht="15" hidden="false" customHeight="false" outlineLevel="0" collapsed="false">
      <c r="A13" s="5" t="s">
        <v>15</v>
      </c>
      <c r="B13" s="5" t="n">
        <f aca="false">COUNTIF(Servers!$D:$D,A13)</f>
        <v>10</v>
      </c>
      <c r="C13" s="5" t="n">
        <f aca="false">COUNTIFS(Servers!$D:$D,A13,Servers!$G:$G,"Production")</f>
        <v>5</v>
      </c>
      <c r="D13" s="5" t="n">
        <f aca="false">COUNTIFS(Servers!$D:$D,A13,Servers!$N:$N,"Tier 0")+COUNTIFS(Servers!$D:$D,A13,Servers!$N:$N,"Tier 1")</f>
        <v>5</v>
      </c>
      <c r="E13" s="5" t="n">
        <f aca="false">COUNTIFS(Servers!$D:$D,A13,Servers!$Q:$Q,"Not Installed")</f>
        <v>1</v>
      </c>
      <c r="F13" s="5" t="n">
        <f aca="false">COUNTIFS(Servers!$D:$D,A13,Servers!$O:$O,"Not Patched")</f>
        <v>3</v>
      </c>
    </row>
    <row r="14" customFormat="false" ht="15" hidden="false" customHeight="false" outlineLevel="0" collapsed="false">
      <c r="A14" s="5" t="s">
        <v>10</v>
      </c>
      <c r="B14" s="5" t="n">
        <f aca="false">COUNTIF(Servers!$D:$D,A14)</f>
        <v>14</v>
      </c>
      <c r="C14" s="5" t="n">
        <f aca="false">COUNTIFS(Servers!$D:$D,A14,Servers!$G:$G,"Production")</f>
        <v>6</v>
      </c>
      <c r="D14" s="5" t="n">
        <f aca="false">COUNTIFS(Servers!$D:$D,A14,Servers!$N:$N,"Tier 0")+COUNTIFS(Servers!$D:$D,A14,Servers!$N:$N,"Tier 1")</f>
        <v>11</v>
      </c>
      <c r="E14" s="5" t="n">
        <f aca="false">COUNTIFS(Servers!$D:$D,A14,Servers!$Q:$Q,"Not Installed")</f>
        <v>4</v>
      </c>
      <c r="F14" s="5" t="n">
        <f aca="false">COUNTIFS(Servers!$D:$D,A14,Servers!$O:$O,"Not Patched")</f>
        <v>2</v>
      </c>
    </row>
    <row r="15" customFormat="false" ht="15" hidden="false" customHeight="false" outlineLevel="0" collapsed="false">
      <c r="A15" s="5" t="s">
        <v>9</v>
      </c>
      <c r="B15" s="5" t="n">
        <f aca="false">COUNTIF(Servers!$D:$D,A15)</f>
        <v>2</v>
      </c>
      <c r="C15" s="5" t="n">
        <f aca="false">COUNTIFS(Servers!$D:$D,A15,Servers!$G:$G,"Production")</f>
        <v>0</v>
      </c>
      <c r="D15" s="5" t="n">
        <f aca="false">COUNTIFS(Servers!$D:$D,A15,Servers!$N:$N,"Tier 0")+COUNTIFS(Servers!$D:$D,A15,Servers!$N:$N,"Tier 1")</f>
        <v>1</v>
      </c>
      <c r="E15" s="5" t="n">
        <f aca="false">COUNTIFS(Servers!$D:$D,A15,Servers!$Q:$Q,"Not Installed")</f>
        <v>0</v>
      </c>
      <c r="F15" s="5" t="n">
        <f aca="false">COUNTIFS(Servers!$D:$D,A15,Servers!$O:$O,"Not Patched")</f>
        <v>0</v>
      </c>
    </row>
    <row r="16" customFormat="false" ht="15" hidden="false" customHeight="false" outlineLevel="0" collapsed="false">
      <c r="A16" s="6" t="s">
        <v>4</v>
      </c>
      <c r="B16" s="6" t="n">
        <f aca="false">SUM(B13:B15)</f>
        <v>26</v>
      </c>
      <c r="C16" s="6" t="n">
        <f aca="false">SUM(C13:C15)</f>
        <v>11</v>
      </c>
      <c r="D16" s="6" t="n">
        <f aca="false">SUM(D13:D15)</f>
        <v>17</v>
      </c>
      <c r="E16" s="6" t="n">
        <f aca="false">SUM(E13:E15)</f>
        <v>5</v>
      </c>
      <c r="F16" s="6" t="n">
        <f aca="false">SUM(F13:F15)</f>
        <v>5</v>
      </c>
    </row>
    <row r="18" customFormat="false" ht="15" hidden="false" customHeight="false" outlineLevel="0" collapsed="false">
      <c r="A18" s="7" t="s">
        <v>16</v>
      </c>
    </row>
    <row r="19" customFormat="false" ht="15" hidden="false" customHeight="false" outlineLevel="0" collapsed="false">
      <c r="A19" s="4" t="s">
        <v>17</v>
      </c>
      <c r="B19" s="4" t="s">
        <v>18</v>
      </c>
      <c r="C19" s="4" t="s">
        <v>19</v>
      </c>
    </row>
    <row r="20" customFormat="false" ht="15" hidden="false" customHeight="false" outlineLevel="0" collapsed="false">
      <c r="A20" s="5" t="s">
        <v>20</v>
      </c>
      <c r="B20" s="5" t="n">
        <f aca="false">COUNTIF(Registers!$B:$B,A20)</f>
        <v>8</v>
      </c>
      <c r="C20" s="8" t="n">
        <f aca="false">SUMIF(Registers!$B:$B,A20,Registers!$G:$G)</f>
        <v>849500</v>
      </c>
    </row>
    <row r="21" customFormat="false" ht="15" hidden="false" customHeight="false" outlineLevel="0" collapsed="false">
      <c r="A21" s="5" t="s">
        <v>21</v>
      </c>
      <c r="B21" s="5" t="n">
        <f aca="false">COUNTIF(Registers!$B:$B,A21)</f>
        <v>4</v>
      </c>
      <c r="C21" s="8" t="n">
        <f aca="false">SUMIF(Registers!$B:$B,A21,Registers!$G:$G)</f>
        <v>230000</v>
      </c>
    </row>
    <row r="22" customFormat="false" ht="15" hidden="false" customHeight="false" outlineLevel="0" collapsed="false">
      <c r="A22" s="5" t="s">
        <v>22</v>
      </c>
      <c r="B22" s="5" t="n">
        <f aca="false">COUNTIF(Registers!$B:$B,A22)</f>
        <v>4</v>
      </c>
      <c r="C22" s="8" t="n">
        <f aca="false">SUMIF(Registers!$B:$B,A22,Registers!$G:$G)</f>
        <v>780000</v>
      </c>
    </row>
    <row r="23" customFormat="false" ht="15" hidden="false" customHeight="false" outlineLevel="0" collapsed="false">
      <c r="A23" s="5" t="s">
        <v>23</v>
      </c>
      <c r="B23" s="5" t="n">
        <f aca="false">COUNTIF(Registers!$B:$B,A23)</f>
        <v>2</v>
      </c>
      <c r="C23" s="8" t="n">
        <f aca="false">SUMIF(Registers!$B:$B,A23,Registers!$G:$G)</f>
        <v>135000</v>
      </c>
    </row>
    <row r="24" customFormat="false" ht="15" hidden="false" customHeight="false" outlineLevel="0" collapsed="false">
      <c r="A24" s="5" t="s">
        <v>24</v>
      </c>
      <c r="B24" s="5" t="n">
        <f aca="false">COUNTIF(Registers!$B:$B,A24)</f>
        <v>2</v>
      </c>
      <c r="C24" s="8" t="n">
        <f aca="false">SUMIF(Registers!$B:$B,A24,Registers!$G:$G)</f>
        <v>37500</v>
      </c>
    </row>
    <row r="25" customFormat="false" ht="15" hidden="false" customHeight="false" outlineLevel="0" collapsed="false">
      <c r="A25" s="6" t="s">
        <v>4</v>
      </c>
      <c r="B25" s="6" t="n">
        <f aca="false">SUM(B20:B24)</f>
        <v>20</v>
      </c>
      <c r="C25" s="9" t="n">
        <f aca="false">SUM(C20:C24)</f>
        <v>2032000</v>
      </c>
    </row>
    <row r="27" customFormat="false" ht="15" hidden="false" customHeight="false" outlineLevel="0" collapsed="false">
      <c r="A27" s="6" t="s">
        <v>25</v>
      </c>
      <c r="B27" s="5" t="n">
        <f aca="false">B9+B16</f>
        <v>72</v>
      </c>
    </row>
    <row r="28" customFormat="false" ht="15" hidden="false" customHeight="false" outlineLevel="0" collapsed="false">
      <c r="A28" s="6" t="s">
        <v>26</v>
      </c>
      <c r="B28" s="5" t="n">
        <f aca="false">COUNTIF(Endpoints!$S:$S,"&lt;"&amp;(DATE(2026,10,13)-30))</f>
        <v>5</v>
      </c>
    </row>
    <row r="29" customFormat="false" ht="15" hidden="false" customHeight="false" outlineLevel="0" collapsed="false">
      <c r="A29" s="6" t="s">
        <v>27</v>
      </c>
      <c r="B29" s="10" t="n">
        <v>46308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8" min="7" style="0" width="15"/>
    <col collapsed="false" customWidth="true" hidden="false" outlineLevel="0" max="9" min="9" style="0" width="19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5" min="14" style="0" width="13"/>
    <col collapsed="false" customWidth="true" hidden="false" outlineLevel="0" max="16" min="16" style="0" width="20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12"/>
  </cols>
  <sheetData>
    <row r="1" customFormat="false" ht="35.05" hidden="false" customHeight="false" outlineLevel="0" collapsed="false">
      <c r="A1" s="11" t="s">
        <v>28</v>
      </c>
      <c r="B1" s="11" t="s">
        <v>29</v>
      </c>
      <c r="C1" s="11" t="s">
        <v>30</v>
      </c>
      <c r="D1" s="11" t="s">
        <v>3</v>
      </c>
      <c r="E1" s="11" t="s">
        <v>31</v>
      </c>
      <c r="F1" s="11" t="s">
        <v>32</v>
      </c>
      <c r="G1" s="11" t="s">
        <v>33</v>
      </c>
      <c r="H1" s="11" t="s">
        <v>34</v>
      </c>
      <c r="I1" s="11" t="s">
        <v>35</v>
      </c>
      <c r="J1" s="11" t="s">
        <v>36</v>
      </c>
      <c r="K1" s="11" t="s">
        <v>37</v>
      </c>
      <c r="L1" s="11" t="s">
        <v>38</v>
      </c>
      <c r="M1" s="11" t="s">
        <v>39</v>
      </c>
      <c r="N1" s="11" t="s">
        <v>40</v>
      </c>
      <c r="O1" s="11" t="s">
        <v>41</v>
      </c>
      <c r="P1" s="11" t="s">
        <v>42</v>
      </c>
      <c r="Q1" s="11" t="s">
        <v>43</v>
      </c>
      <c r="R1" s="11" t="s">
        <v>44</v>
      </c>
      <c r="S1" s="11" t="s">
        <v>45</v>
      </c>
    </row>
    <row r="2" customFormat="false" ht="15" hidden="false" customHeight="false" outlineLevel="0" collapsed="false">
      <c r="A2" s="5" t="s">
        <v>46</v>
      </c>
      <c r="B2" s="5" t="s">
        <v>47</v>
      </c>
      <c r="C2" s="5" t="s">
        <v>48</v>
      </c>
      <c r="D2" s="5" t="s">
        <v>8</v>
      </c>
      <c r="E2" s="5" t="s">
        <v>49</v>
      </c>
      <c r="F2" s="5" t="s">
        <v>50</v>
      </c>
      <c r="G2" s="5" t="s">
        <v>51</v>
      </c>
      <c r="H2" s="5" t="s">
        <v>52</v>
      </c>
      <c r="I2" s="5" t="s">
        <v>53</v>
      </c>
      <c r="J2" s="5" t="s">
        <v>54</v>
      </c>
      <c r="K2" s="5" t="s">
        <v>55</v>
      </c>
      <c r="L2" s="5" t="s">
        <v>56</v>
      </c>
      <c r="M2" s="5" t="s">
        <v>5</v>
      </c>
      <c r="N2" s="10" t="n">
        <v>44939</v>
      </c>
      <c r="O2" s="10" t="n">
        <v>46034</v>
      </c>
      <c r="P2" s="5" t="s">
        <v>57</v>
      </c>
      <c r="Q2" s="5" t="s">
        <v>58</v>
      </c>
      <c r="R2" s="5" t="s">
        <v>59</v>
      </c>
      <c r="S2" s="10" t="n">
        <v>46308</v>
      </c>
    </row>
    <row r="3" customFormat="false" ht="15" hidden="false" customHeight="false" outlineLevel="0" collapsed="false">
      <c r="A3" s="5" t="s">
        <v>60</v>
      </c>
      <c r="B3" s="5" t="s">
        <v>61</v>
      </c>
      <c r="C3" s="5" t="s">
        <v>48</v>
      </c>
      <c r="D3" s="5" t="s">
        <v>8</v>
      </c>
      <c r="E3" s="5" t="s">
        <v>49</v>
      </c>
      <c r="F3" s="5" t="s">
        <v>62</v>
      </c>
      <c r="G3" s="5" t="s">
        <v>63</v>
      </c>
      <c r="H3" s="5" t="s">
        <v>64</v>
      </c>
      <c r="I3" s="5" t="s">
        <v>65</v>
      </c>
      <c r="J3" s="5" t="s">
        <v>66</v>
      </c>
      <c r="K3" s="5" t="s">
        <v>67</v>
      </c>
      <c r="L3" s="5" t="s">
        <v>68</v>
      </c>
      <c r="M3" s="5" t="s">
        <v>5</v>
      </c>
      <c r="N3" s="10" t="n">
        <v>45016</v>
      </c>
      <c r="O3" s="10" t="n">
        <v>46111</v>
      </c>
      <c r="P3" s="5" t="s">
        <v>57</v>
      </c>
      <c r="Q3" s="5" t="s">
        <v>58</v>
      </c>
      <c r="R3" s="5" t="s">
        <v>59</v>
      </c>
      <c r="S3" s="10" t="n">
        <v>46308</v>
      </c>
    </row>
    <row r="4" customFormat="false" ht="15" hidden="false" customHeight="false" outlineLevel="0" collapsed="false">
      <c r="A4" s="5" t="s">
        <v>69</v>
      </c>
      <c r="B4" s="5" t="s">
        <v>70</v>
      </c>
      <c r="C4" s="5" t="s">
        <v>48</v>
      </c>
      <c r="D4" s="5" t="s">
        <v>8</v>
      </c>
      <c r="E4" s="5" t="s">
        <v>71</v>
      </c>
      <c r="F4" s="5" t="s">
        <v>62</v>
      </c>
      <c r="G4" s="5" t="s">
        <v>72</v>
      </c>
      <c r="H4" s="5" t="s">
        <v>73</v>
      </c>
      <c r="I4" s="5" t="s">
        <v>74</v>
      </c>
      <c r="J4" s="5" t="s">
        <v>75</v>
      </c>
      <c r="K4" s="5" t="s">
        <v>76</v>
      </c>
      <c r="L4" s="5" t="s">
        <v>77</v>
      </c>
      <c r="M4" s="5" t="s">
        <v>5</v>
      </c>
      <c r="N4" s="10" t="n">
        <v>45470</v>
      </c>
      <c r="O4" s="10" t="n">
        <v>46565</v>
      </c>
      <c r="P4" s="5" t="s">
        <v>57</v>
      </c>
      <c r="Q4" s="5" t="s">
        <v>58</v>
      </c>
      <c r="R4" s="5" t="s">
        <v>59</v>
      </c>
      <c r="S4" s="10" t="n">
        <v>46308</v>
      </c>
    </row>
    <row r="5" customFormat="false" ht="15" hidden="false" customHeight="false" outlineLevel="0" collapsed="false">
      <c r="A5" s="5" t="s">
        <v>78</v>
      </c>
      <c r="B5" s="5" t="s">
        <v>79</v>
      </c>
      <c r="C5" s="5" t="s">
        <v>48</v>
      </c>
      <c r="D5" s="5" t="s">
        <v>8</v>
      </c>
      <c r="E5" s="5" t="s">
        <v>80</v>
      </c>
      <c r="F5" s="5" t="s">
        <v>81</v>
      </c>
      <c r="G5" s="5" t="s">
        <v>82</v>
      </c>
      <c r="H5" s="5" t="s">
        <v>83</v>
      </c>
      <c r="I5" s="5" t="s">
        <v>84</v>
      </c>
      <c r="J5" s="5" t="s">
        <v>66</v>
      </c>
      <c r="K5" s="5" t="s">
        <v>85</v>
      </c>
      <c r="L5" s="5" t="s">
        <v>77</v>
      </c>
      <c r="M5" s="5" t="s">
        <v>5</v>
      </c>
      <c r="N5" s="10" t="n">
        <v>44894</v>
      </c>
      <c r="O5" s="10" t="n">
        <v>45989</v>
      </c>
      <c r="P5" s="5" t="s">
        <v>57</v>
      </c>
      <c r="Q5" s="5" t="s">
        <v>58</v>
      </c>
      <c r="R5" s="5" t="s">
        <v>59</v>
      </c>
      <c r="S5" s="10" t="n">
        <v>46307</v>
      </c>
    </row>
    <row r="6" customFormat="false" ht="15" hidden="false" customHeight="false" outlineLevel="0" collapsed="false">
      <c r="A6" s="5" t="s">
        <v>86</v>
      </c>
      <c r="B6" s="5" t="s">
        <v>87</v>
      </c>
      <c r="C6" s="5" t="s">
        <v>48</v>
      </c>
      <c r="D6" s="5" t="s">
        <v>8</v>
      </c>
      <c r="E6" s="5" t="s">
        <v>71</v>
      </c>
      <c r="F6" s="5" t="s">
        <v>62</v>
      </c>
      <c r="G6" s="5" t="s">
        <v>88</v>
      </c>
      <c r="H6" s="5" t="s">
        <v>89</v>
      </c>
      <c r="I6" s="5" t="s">
        <v>90</v>
      </c>
      <c r="J6" s="5" t="s">
        <v>91</v>
      </c>
      <c r="K6" s="5" t="s">
        <v>76</v>
      </c>
      <c r="L6" s="5" t="s">
        <v>68</v>
      </c>
      <c r="M6" s="5" t="s">
        <v>5</v>
      </c>
      <c r="N6" s="10" t="n">
        <v>45914</v>
      </c>
      <c r="O6" s="10" t="n">
        <v>47009</v>
      </c>
      <c r="P6" s="5" t="s">
        <v>57</v>
      </c>
      <c r="Q6" s="5" t="s">
        <v>58</v>
      </c>
      <c r="R6" s="5" t="s">
        <v>59</v>
      </c>
      <c r="S6" s="10" t="n">
        <v>46303</v>
      </c>
    </row>
    <row r="7" customFormat="false" ht="15" hidden="false" customHeight="false" outlineLevel="0" collapsed="false">
      <c r="A7" s="5" t="s">
        <v>92</v>
      </c>
      <c r="B7" s="5" t="s">
        <v>93</v>
      </c>
      <c r="C7" s="5" t="s">
        <v>48</v>
      </c>
      <c r="D7" s="5" t="s">
        <v>8</v>
      </c>
      <c r="E7" s="5" t="s">
        <v>80</v>
      </c>
      <c r="F7" s="5" t="s">
        <v>62</v>
      </c>
      <c r="G7" s="5" t="s">
        <v>94</v>
      </c>
      <c r="H7" s="5" t="s">
        <v>95</v>
      </c>
      <c r="I7" s="5" t="s">
        <v>96</v>
      </c>
      <c r="J7" s="5" t="s">
        <v>97</v>
      </c>
      <c r="K7" s="5" t="s">
        <v>98</v>
      </c>
      <c r="L7" s="5" t="s">
        <v>56</v>
      </c>
      <c r="M7" s="5" t="s">
        <v>5</v>
      </c>
      <c r="N7" s="10" t="n">
        <v>45956</v>
      </c>
      <c r="O7" s="10" t="n">
        <v>47051</v>
      </c>
      <c r="P7" s="5" t="s">
        <v>57</v>
      </c>
      <c r="Q7" s="5" t="s">
        <v>58</v>
      </c>
      <c r="R7" s="5" t="s">
        <v>59</v>
      </c>
      <c r="S7" s="10" t="n">
        <v>46307</v>
      </c>
    </row>
    <row r="8" customFormat="false" ht="15" hidden="false" customHeight="false" outlineLevel="0" collapsed="false">
      <c r="A8" s="5" t="s">
        <v>99</v>
      </c>
      <c r="B8" s="5" t="s">
        <v>100</v>
      </c>
      <c r="C8" s="5" t="s">
        <v>48</v>
      </c>
      <c r="D8" s="5" t="s">
        <v>8</v>
      </c>
      <c r="E8" s="5" t="s">
        <v>49</v>
      </c>
      <c r="F8" s="5" t="s">
        <v>81</v>
      </c>
      <c r="G8" s="5" t="s">
        <v>101</v>
      </c>
      <c r="H8" s="5" t="s">
        <v>102</v>
      </c>
      <c r="I8" s="5" t="s">
        <v>103</v>
      </c>
      <c r="J8" s="5" t="s">
        <v>97</v>
      </c>
      <c r="K8" s="5" t="s">
        <v>104</v>
      </c>
      <c r="L8" s="5" t="s">
        <v>105</v>
      </c>
      <c r="M8" s="5" t="s">
        <v>5</v>
      </c>
      <c r="N8" s="10" t="n">
        <v>44963</v>
      </c>
      <c r="O8" s="10" t="n">
        <v>46058</v>
      </c>
      <c r="P8" s="5" t="s">
        <v>57</v>
      </c>
      <c r="Q8" s="5" t="s">
        <v>58</v>
      </c>
      <c r="R8" s="5" t="s">
        <v>59</v>
      </c>
      <c r="S8" s="10" t="n">
        <v>46308</v>
      </c>
    </row>
    <row r="9" customFormat="false" ht="15" hidden="false" customHeight="false" outlineLevel="0" collapsed="false">
      <c r="A9" s="5" t="s">
        <v>106</v>
      </c>
      <c r="B9" s="5" t="s">
        <v>107</v>
      </c>
      <c r="C9" s="5" t="s">
        <v>48</v>
      </c>
      <c r="D9" s="5" t="s">
        <v>8</v>
      </c>
      <c r="E9" s="5" t="s">
        <v>80</v>
      </c>
      <c r="F9" s="5" t="s">
        <v>62</v>
      </c>
      <c r="G9" s="5" t="s">
        <v>108</v>
      </c>
      <c r="H9" s="5" t="s">
        <v>109</v>
      </c>
      <c r="I9" s="5" t="s">
        <v>110</v>
      </c>
      <c r="J9" s="5" t="s">
        <v>91</v>
      </c>
      <c r="K9" s="5" t="s">
        <v>67</v>
      </c>
      <c r="L9" s="5" t="s">
        <v>111</v>
      </c>
      <c r="M9" s="5" t="s">
        <v>5</v>
      </c>
      <c r="N9" s="10" t="n">
        <v>45358</v>
      </c>
      <c r="O9" s="10" t="n">
        <v>46453</v>
      </c>
      <c r="P9" s="5" t="s">
        <v>57</v>
      </c>
      <c r="Q9" s="5" t="s">
        <v>58</v>
      </c>
      <c r="R9" s="5" t="s">
        <v>59</v>
      </c>
      <c r="S9" s="10" t="n">
        <v>46308</v>
      </c>
    </row>
    <row r="10" customFormat="false" ht="15" hidden="false" customHeight="false" outlineLevel="0" collapsed="false">
      <c r="A10" s="5" t="s">
        <v>112</v>
      </c>
      <c r="B10" s="5" t="s">
        <v>113</v>
      </c>
      <c r="C10" s="5" t="s">
        <v>48</v>
      </c>
      <c r="D10" s="5" t="s">
        <v>8</v>
      </c>
      <c r="E10" s="5" t="s">
        <v>71</v>
      </c>
      <c r="F10" s="5" t="s">
        <v>81</v>
      </c>
      <c r="G10" s="5" t="s">
        <v>114</v>
      </c>
      <c r="H10" s="5" t="s">
        <v>115</v>
      </c>
      <c r="I10" s="5" t="s">
        <v>116</v>
      </c>
      <c r="J10" s="5" t="s">
        <v>117</v>
      </c>
      <c r="K10" s="5" t="s">
        <v>85</v>
      </c>
      <c r="L10" s="5" t="s">
        <v>77</v>
      </c>
      <c r="M10" s="5" t="s">
        <v>5</v>
      </c>
      <c r="N10" s="10" t="n">
        <v>46247</v>
      </c>
      <c r="O10" s="10" t="n">
        <v>47342</v>
      </c>
      <c r="P10" s="5" t="s">
        <v>57</v>
      </c>
      <c r="Q10" s="5" t="s">
        <v>58</v>
      </c>
      <c r="R10" s="5" t="s">
        <v>59</v>
      </c>
      <c r="S10" s="10" t="n">
        <v>46293</v>
      </c>
    </row>
    <row r="11" customFormat="false" ht="15" hidden="false" customHeight="false" outlineLevel="0" collapsed="false">
      <c r="A11" s="5" t="s">
        <v>118</v>
      </c>
      <c r="B11" s="5" t="s">
        <v>119</v>
      </c>
      <c r="C11" s="5" t="s">
        <v>48</v>
      </c>
      <c r="D11" s="5" t="s">
        <v>8</v>
      </c>
      <c r="E11" s="5" t="s">
        <v>49</v>
      </c>
      <c r="F11" s="5" t="s">
        <v>62</v>
      </c>
      <c r="G11" s="5" t="s">
        <v>120</v>
      </c>
      <c r="H11" s="5" t="s">
        <v>121</v>
      </c>
      <c r="I11" s="5" t="s">
        <v>122</v>
      </c>
      <c r="J11" s="5" t="s">
        <v>123</v>
      </c>
      <c r="K11" s="5" t="s">
        <v>98</v>
      </c>
      <c r="L11" s="5" t="s">
        <v>77</v>
      </c>
      <c r="M11" s="5" t="s">
        <v>5</v>
      </c>
      <c r="N11" s="10" t="n">
        <v>45123</v>
      </c>
      <c r="O11" s="10" t="n">
        <v>46218</v>
      </c>
      <c r="P11" s="5" t="s">
        <v>57</v>
      </c>
      <c r="Q11" s="5" t="s">
        <v>58</v>
      </c>
      <c r="R11" s="5" t="s">
        <v>59</v>
      </c>
      <c r="S11" s="10" t="n">
        <v>46308</v>
      </c>
    </row>
    <row r="12" customFormat="false" ht="15" hidden="false" customHeight="false" outlineLevel="0" collapsed="false">
      <c r="A12" s="5" t="s">
        <v>124</v>
      </c>
      <c r="B12" s="5" t="s">
        <v>125</v>
      </c>
      <c r="C12" s="5" t="s">
        <v>48</v>
      </c>
      <c r="D12" s="5" t="s">
        <v>8</v>
      </c>
      <c r="E12" s="5" t="s">
        <v>80</v>
      </c>
      <c r="F12" s="5" t="s">
        <v>62</v>
      </c>
      <c r="G12" s="5" t="s">
        <v>126</v>
      </c>
      <c r="H12" s="5" t="s">
        <v>127</v>
      </c>
      <c r="I12" s="5" t="s">
        <v>128</v>
      </c>
      <c r="J12" s="5" t="s">
        <v>54</v>
      </c>
      <c r="K12" s="5" t="s">
        <v>76</v>
      </c>
      <c r="L12" s="5" t="s">
        <v>56</v>
      </c>
      <c r="M12" s="5" t="s">
        <v>129</v>
      </c>
      <c r="N12" s="10" t="n">
        <v>45788</v>
      </c>
      <c r="O12" s="10" t="n">
        <v>46883</v>
      </c>
      <c r="P12" s="5" t="s">
        <v>57</v>
      </c>
      <c r="Q12" s="5" t="s">
        <v>58</v>
      </c>
      <c r="R12" s="5" t="s">
        <v>59</v>
      </c>
      <c r="S12" s="10" t="n">
        <v>46308</v>
      </c>
    </row>
    <row r="13" customFormat="false" ht="15" hidden="false" customHeight="false" outlineLevel="0" collapsed="false">
      <c r="A13" s="5" t="s">
        <v>130</v>
      </c>
      <c r="B13" s="5" t="s">
        <v>131</v>
      </c>
      <c r="C13" s="5" t="s">
        <v>48</v>
      </c>
      <c r="D13" s="5" t="s">
        <v>8</v>
      </c>
      <c r="E13" s="5" t="s">
        <v>49</v>
      </c>
      <c r="F13" s="5" t="s">
        <v>81</v>
      </c>
      <c r="G13" s="5" t="s">
        <v>132</v>
      </c>
      <c r="H13" s="5" t="s">
        <v>133</v>
      </c>
      <c r="I13" s="5" t="s">
        <v>134</v>
      </c>
      <c r="J13" s="5" t="s">
        <v>123</v>
      </c>
      <c r="K13" s="5" t="s">
        <v>135</v>
      </c>
      <c r="L13" s="5" t="s">
        <v>136</v>
      </c>
      <c r="M13" s="5" t="s">
        <v>5</v>
      </c>
      <c r="N13" s="10" t="n">
        <v>44878</v>
      </c>
      <c r="O13" s="10" t="n">
        <v>45973</v>
      </c>
      <c r="P13" s="5" t="s">
        <v>57</v>
      </c>
      <c r="Q13" s="5" t="s">
        <v>58</v>
      </c>
      <c r="R13" s="5" t="s">
        <v>59</v>
      </c>
      <c r="S13" s="10" t="n">
        <v>46303</v>
      </c>
    </row>
    <row r="14" customFormat="false" ht="15" hidden="false" customHeight="false" outlineLevel="0" collapsed="false">
      <c r="A14" s="5" t="s">
        <v>137</v>
      </c>
      <c r="B14" s="5" t="s">
        <v>138</v>
      </c>
      <c r="C14" s="5" t="s">
        <v>48</v>
      </c>
      <c r="D14" s="5" t="s">
        <v>8</v>
      </c>
      <c r="E14" s="5" t="s">
        <v>80</v>
      </c>
      <c r="F14" s="5" t="s">
        <v>81</v>
      </c>
      <c r="G14" s="5" t="s">
        <v>139</v>
      </c>
      <c r="H14" s="5" t="s">
        <v>140</v>
      </c>
      <c r="I14" s="5" t="s">
        <v>141</v>
      </c>
      <c r="J14" s="5" t="s">
        <v>117</v>
      </c>
      <c r="K14" s="5" t="s">
        <v>85</v>
      </c>
      <c r="L14" s="5" t="s">
        <v>56</v>
      </c>
      <c r="M14" s="5" t="s">
        <v>129</v>
      </c>
      <c r="N14" s="10" t="n">
        <v>46124</v>
      </c>
      <c r="O14" s="10" t="n">
        <v>47219</v>
      </c>
      <c r="P14" s="5" t="s">
        <v>57</v>
      </c>
      <c r="Q14" s="5" t="s">
        <v>58</v>
      </c>
      <c r="R14" s="5" t="s">
        <v>59</v>
      </c>
      <c r="S14" s="10" t="n">
        <v>46305</v>
      </c>
    </row>
    <row r="15" customFormat="false" ht="15" hidden="false" customHeight="false" outlineLevel="0" collapsed="false">
      <c r="A15" s="5" t="s">
        <v>142</v>
      </c>
      <c r="B15" s="5" t="s">
        <v>143</v>
      </c>
      <c r="C15" s="5" t="s">
        <v>48</v>
      </c>
      <c r="D15" s="5" t="s">
        <v>8</v>
      </c>
      <c r="E15" s="5" t="s">
        <v>71</v>
      </c>
      <c r="F15" s="5" t="s">
        <v>50</v>
      </c>
      <c r="G15" s="5" t="s">
        <v>144</v>
      </c>
      <c r="H15" s="5" t="s">
        <v>145</v>
      </c>
      <c r="I15" s="5" t="s">
        <v>146</v>
      </c>
      <c r="J15" s="5" t="s">
        <v>147</v>
      </c>
      <c r="K15" s="5" t="s">
        <v>98</v>
      </c>
      <c r="L15" s="5" t="s">
        <v>68</v>
      </c>
      <c r="M15" s="5" t="s">
        <v>5</v>
      </c>
      <c r="N15" s="10" t="n">
        <v>45764</v>
      </c>
      <c r="O15" s="10" t="n">
        <v>46859</v>
      </c>
      <c r="P15" s="5" t="s">
        <v>57</v>
      </c>
      <c r="Q15" s="5" t="s">
        <v>58</v>
      </c>
      <c r="R15" s="5" t="s">
        <v>59</v>
      </c>
      <c r="S15" s="10" t="n">
        <v>46308</v>
      </c>
    </row>
    <row r="16" customFormat="false" ht="15" hidden="false" customHeight="false" outlineLevel="0" collapsed="false">
      <c r="A16" s="5" t="s">
        <v>148</v>
      </c>
      <c r="B16" s="5" t="s">
        <v>149</v>
      </c>
      <c r="C16" s="5" t="s">
        <v>48</v>
      </c>
      <c r="D16" s="5" t="s">
        <v>8</v>
      </c>
      <c r="E16" s="5" t="s">
        <v>80</v>
      </c>
      <c r="F16" s="5" t="s">
        <v>62</v>
      </c>
      <c r="G16" s="5" t="s">
        <v>150</v>
      </c>
      <c r="H16" s="5" t="s">
        <v>151</v>
      </c>
      <c r="I16" s="5" t="s">
        <v>152</v>
      </c>
      <c r="J16" s="5" t="s">
        <v>153</v>
      </c>
      <c r="K16" s="5" t="s">
        <v>85</v>
      </c>
      <c r="L16" s="5" t="s">
        <v>77</v>
      </c>
      <c r="M16" s="5" t="s">
        <v>5</v>
      </c>
      <c r="N16" s="10" t="n">
        <v>46129</v>
      </c>
      <c r="O16" s="10" t="n">
        <v>47224</v>
      </c>
      <c r="P16" s="5" t="s">
        <v>57</v>
      </c>
      <c r="Q16" s="5" t="s">
        <v>58</v>
      </c>
      <c r="R16" s="5" t="s">
        <v>59</v>
      </c>
      <c r="S16" s="10" t="n">
        <v>46293</v>
      </c>
    </row>
    <row r="17" customFormat="false" ht="15" hidden="false" customHeight="false" outlineLevel="0" collapsed="false">
      <c r="A17" s="5" t="s">
        <v>154</v>
      </c>
      <c r="B17" s="5" t="s">
        <v>155</v>
      </c>
      <c r="C17" s="5" t="s">
        <v>48</v>
      </c>
      <c r="D17" s="5" t="s">
        <v>8</v>
      </c>
      <c r="E17" s="5" t="s">
        <v>49</v>
      </c>
      <c r="F17" s="5" t="s">
        <v>62</v>
      </c>
      <c r="G17" s="5" t="s">
        <v>156</v>
      </c>
      <c r="H17" s="5" t="s">
        <v>157</v>
      </c>
      <c r="I17" s="5" t="s">
        <v>158</v>
      </c>
      <c r="J17" s="5" t="s">
        <v>123</v>
      </c>
      <c r="K17" s="5" t="s">
        <v>159</v>
      </c>
      <c r="L17" s="5" t="s">
        <v>111</v>
      </c>
      <c r="M17" s="5" t="s">
        <v>5</v>
      </c>
      <c r="N17" s="10" t="n">
        <v>46003</v>
      </c>
      <c r="O17" s="10" t="n">
        <v>47098</v>
      </c>
      <c r="P17" s="5" t="s">
        <v>57</v>
      </c>
      <c r="Q17" s="5" t="s">
        <v>58</v>
      </c>
      <c r="R17" s="5" t="s">
        <v>59</v>
      </c>
      <c r="S17" s="10" t="n">
        <v>46293</v>
      </c>
    </row>
    <row r="18" customFormat="false" ht="15" hidden="false" customHeight="false" outlineLevel="0" collapsed="false">
      <c r="A18" s="5" t="s">
        <v>160</v>
      </c>
      <c r="B18" s="5" t="s">
        <v>161</v>
      </c>
      <c r="C18" s="5" t="s">
        <v>48</v>
      </c>
      <c r="D18" s="5" t="s">
        <v>8</v>
      </c>
      <c r="E18" s="5" t="s">
        <v>80</v>
      </c>
      <c r="F18" s="5" t="s">
        <v>50</v>
      </c>
      <c r="G18" s="5" t="s">
        <v>162</v>
      </c>
      <c r="H18" s="5" t="s">
        <v>163</v>
      </c>
      <c r="I18" s="5" t="s">
        <v>164</v>
      </c>
      <c r="J18" s="5" t="s">
        <v>91</v>
      </c>
      <c r="K18" s="5" t="s">
        <v>76</v>
      </c>
      <c r="L18" s="5" t="s">
        <v>111</v>
      </c>
      <c r="M18" s="5" t="s">
        <v>5</v>
      </c>
      <c r="N18" s="10" t="n">
        <v>45312</v>
      </c>
      <c r="O18" s="10" t="n">
        <v>46407</v>
      </c>
      <c r="P18" s="5" t="s">
        <v>57</v>
      </c>
      <c r="Q18" s="5" t="s">
        <v>58</v>
      </c>
      <c r="R18" s="5" t="s">
        <v>59</v>
      </c>
      <c r="S18" s="10" t="n">
        <v>46306</v>
      </c>
    </row>
    <row r="19" customFormat="false" ht="15" hidden="false" customHeight="false" outlineLevel="0" collapsed="false">
      <c r="A19" s="5" t="s">
        <v>165</v>
      </c>
      <c r="B19" s="5" t="s">
        <v>166</v>
      </c>
      <c r="C19" s="5" t="s">
        <v>48</v>
      </c>
      <c r="D19" s="5" t="s">
        <v>8</v>
      </c>
      <c r="E19" s="5" t="s">
        <v>80</v>
      </c>
      <c r="F19" s="5" t="s">
        <v>62</v>
      </c>
      <c r="G19" s="5" t="s">
        <v>167</v>
      </c>
      <c r="H19" s="5" t="s">
        <v>168</v>
      </c>
      <c r="I19" s="5" t="s">
        <v>169</v>
      </c>
      <c r="J19" s="5" t="s">
        <v>66</v>
      </c>
      <c r="K19" s="5" t="s">
        <v>104</v>
      </c>
      <c r="L19" s="5" t="s">
        <v>77</v>
      </c>
      <c r="M19" s="5" t="s">
        <v>5</v>
      </c>
      <c r="N19" s="10" t="n">
        <v>44808</v>
      </c>
      <c r="O19" s="10" t="n">
        <v>45903</v>
      </c>
      <c r="P19" s="5" t="s">
        <v>57</v>
      </c>
      <c r="Q19" s="5" t="s">
        <v>58</v>
      </c>
      <c r="R19" s="5" t="s">
        <v>59</v>
      </c>
      <c r="S19" s="10" t="n">
        <v>46307</v>
      </c>
    </row>
    <row r="20" customFormat="false" ht="15" hidden="false" customHeight="false" outlineLevel="0" collapsed="false">
      <c r="A20" s="5" t="s">
        <v>170</v>
      </c>
      <c r="B20" s="5" t="s">
        <v>171</v>
      </c>
      <c r="C20" s="5" t="s">
        <v>48</v>
      </c>
      <c r="D20" s="5" t="s">
        <v>8</v>
      </c>
      <c r="E20" s="5" t="s">
        <v>49</v>
      </c>
      <c r="F20" s="5" t="s">
        <v>50</v>
      </c>
      <c r="G20" s="5" t="s">
        <v>172</v>
      </c>
      <c r="H20" s="5" t="s">
        <v>173</v>
      </c>
      <c r="I20" s="5" t="s">
        <v>174</v>
      </c>
      <c r="J20" s="5" t="s">
        <v>66</v>
      </c>
      <c r="K20" s="5" t="s">
        <v>67</v>
      </c>
      <c r="L20" s="5" t="s">
        <v>105</v>
      </c>
      <c r="M20" s="5" t="s">
        <v>5</v>
      </c>
      <c r="N20" s="10" t="n">
        <v>44841</v>
      </c>
      <c r="O20" s="10" t="n">
        <v>45936</v>
      </c>
      <c r="P20" s="5" t="s">
        <v>57</v>
      </c>
      <c r="Q20" s="5" t="s">
        <v>58</v>
      </c>
      <c r="R20" s="5" t="s">
        <v>59</v>
      </c>
      <c r="S20" s="10" t="n">
        <v>46273</v>
      </c>
    </row>
    <row r="21" customFormat="false" ht="15" hidden="false" customHeight="false" outlineLevel="0" collapsed="false">
      <c r="A21" s="5" t="s">
        <v>175</v>
      </c>
      <c r="B21" s="5" t="s">
        <v>176</v>
      </c>
      <c r="C21" s="5" t="s">
        <v>48</v>
      </c>
      <c r="D21" s="5" t="s">
        <v>8</v>
      </c>
      <c r="E21" s="5" t="s">
        <v>80</v>
      </c>
      <c r="F21" s="5" t="s">
        <v>62</v>
      </c>
      <c r="G21" s="5" t="s">
        <v>177</v>
      </c>
      <c r="H21" s="5" t="s">
        <v>178</v>
      </c>
      <c r="I21" s="5" t="s">
        <v>179</v>
      </c>
      <c r="J21" s="5" t="s">
        <v>66</v>
      </c>
      <c r="K21" s="5" t="s">
        <v>76</v>
      </c>
      <c r="L21" s="5" t="s">
        <v>56</v>
      </c>
      <c r="M21" s="5" t="s">
        <v>5</v>
      </c>
      <c r="N21" s="10" t="n">
        <v>45100</v>
      </c>
      <c r="O21" s="10" t="n">
        <v>46195</v>
      </c>
      <c r="P21" s="5" t="s">
        <v>57</v>
      </c>
      <c r="Q21" s="5" t="s">
        <v>58</v>
      </c>
      <c r="R21" s="5" t="s">
        <v>59</v>
      </c>
      <c r="S21" s="10" t="n">
        <v>46308</v>
      </c>
    </row>
    <row r="22" customFormat="false" ht="15" hidden="false" customHeight="false" outlineLevel="0" collapsed="false">
      <c r="A22" s="5" t="s">
        <v>180</v>
      </c>
      <c r="B22" s="5" t="s">
        <v>181</v>
      </c>
      <c r="C22" s="5" t="s">
        <v>48</v>
      </c>
      <c r="D22" s="5" t="s">
        <v>8</v>
      </c>
      <c r="E22" s="5" t="s">
        <v>49</v>
      </c>
      <c r="F22" s="5" t="s">
        <v>50</v>
      </c>
      <c r="G22" s="5" t="s">
        <v>182</v>
      </c>
      <c r="H22" s="5" t="s">
        <v>183</v>
      </c>
      <c r="I22" s="5" t="s">
        <v>184</v>
      </c>
      <c r="J22" s="5" t="s">
        <v>147</v>
      </c>
      <c r="K22" s="5" t="s">
        <v>159</v>
      </c>
      <c r="L22" s="5" t="s">
        <v>111</v>
      </c>
      <c r="M22" s="5" t="s">
        <v>5</v>
      </c>
      <c r="N22" s="10" t="n">
        <v>44883</v>
      </c>
      <c r="O22" s="10" t="n">
        <v>45978</v>
      </c>
      <c r="P22" s="5" t="s">
        <v>57</v>
      </c>
      <c r="Q22" s="5" t="s">
        <v>58</v>
      </c>
      <c r="R22" s="5" t="s">
        <v>59</v>
      </c>
      <c r="S22" s="10" t="n">
        <v>46308</v>
      </c>
    </row>
    <row r="23" customFormat="false" ht="15" hidden="false" customHeight="false" outlineLevel="0" collapsed="false">
      <c r="A23" s="5" t="s">
        <v>185</v>
      </c>
      <c r="B23" s="5" t="s">
        <v>186</v>
      </c>
      <c r="C23" s="5" t="s">
        <v>48</v>
      </c>
      <c r="D23" s="5" t="s">
        <v>8</v>
      </c>
      <c r="E23" s="5" t="s">
        <v>80</v>
      </c>
      <c r="F23" s="5" t="s">
        <v>50</v>
      </c>
      <c r="G23" s="5" t="s">
        <v>187</v>
      </c>
      <c r="H23" s="5" t="s">
        <v>188</v>
      </c>
      <c r="I23" s="5" t="s">
        <v>189</v>
      </c>
      <c r="J23" s="5" t="s">
        <v>66</v>
      </c>
      <c r="K23" s="5" t="s">
        <v>85</v>
      </c>
      <c r="L23" s="5" t="s">
        <v>111</v>
      </c>
      <c r="M23" s="5" t="s">
        <v>5</v>
      </c>
      <c r="N23" s="10" t="n">
        <v>46169</v>
      </c>
      <c r="O23" s="10" t="n">
        <v>47264</v>
      </c>
      <c r="P23" s="5" t="s">
        <v>57</v>
      </c>
      <c r="Q23" s="5" t="s">
        <v>58</v>
      </c>
      <c r="R23" s="5" t="s">
        <v>59</v>
      </c>
      <c r="S23" s="10" t="n">
        <v>46303</v>
      </c>
    </row>
    <row r="24" customFormat="false" ht="15" hidden="false" customHeight="false" outlineLevel="0" collapsed="false">
      <c r="A24" s="5" t="s">
        <v>190</v>
      </c>
      <c r="B24" s="5" t="s">
        <v>191</v>
      </c>
      <c r="C24" s="5" t="s">
        <v>192</v>
      </c>
      <c r="D24" s="5" t="s">
        <v>8</v>
      </c>
      <c r="E24" s="5" t="s">
        <v>80</v>
      </c>
      <c r="F24" s="5" t="s">
        <v>193</v>
      </c>
      <c r="G24" s="5" t="s">
        <v>194</v>
      </c>
      <c r="H24" s="5" t="s">
        <v>195</v>
      </c>
      <c r="I24" s="5" t="s">
        <v>196</v>
      </c>
      <c r="J24" s="5" t="s">
        <v>147</v>
      </c>
      <c r="K24" s="5" t="s">
        <v>85</v>
      </c>
      <c r="L24" s="5" t="s">
        <v>136</v>
      </c>
      <c r="M24" s="5" t="s">
        <v>197</v>
      </c>
      <c r="N24" s="10" t="n">
        <v>44857</v>
      </c>
      <c r="O24" s="10" t="n">
        <v>45952</v>
      </c>
      <c r="P24" s="5" t="s">
        <v>57</v>
      </c>
      <c r="Q24" s="5" t="s">
        <v>58</v>
      </c>
      <c r="R24" s="5" t="s">
        <v>59</v>
      </c>
      <c r="S24" s="10" t="n">
        <v>46299</v>
      </c>
    </row>
    <row r="25" customFormat="false" ht="15" hidden="false" customHeight="false" outlineLevel="0" collapsed="false">
      <c r="A25" s="5" t="s">
        <v>198</v>
      </c>
      <c r="B25" s="5" t="s">
        <v>199</v>
      </c>
      <c r="C25" s="5" t="s">
        <v>192</v>
      </c>
      <c r="D25" s="5" t="s">
        <v>8</v>
      </c>
      <c r="E25" s="5" t="s">
        <v>80</v>
      </c>
      <c r="F25" s="5" t="s">
        <v>193</v>
      </c>
      <c r="G25" s="5" t="s">
        <v>200</v>
      </c>
      <c r="H25" s="5" t="s">
        <v>201</v>
      </c>
      <c r="I25" s="5" t="s">
        <v>202</v>
      </c>
      <c r="J25" s="5" t="s">
        <v>97</v>
      </c>
      <c r="K25" s="5" t="s">
        <v>104</v>
      </c>
      <c r="L25" s="5" t="s">
        <v>105</v>
      </c>
      <c r="M25" s="5" t="s">
        <v>5</v>
      </c>
      <c r="N25" s="10" t="n">
        <v>46158</v>
      </c>
      <c r="O25" s="10" t="n">
        <v>47253</v>
      </c>
      <c r="P25" s="5" t="s">
        <v>57</v>
      </c>
      <c r="Q25" s="5" t="s">
        <v>58</v>
      </c>
      <c r="R25" s="5" t="s">
        <v>59</v>
      </c>
      <c r="S25" s="10" t="n">
        <v>46248</v>
      </c>
    </row>
    <row r="26" customFormat="false" ht="15" hidden="false" customHeight="false" outlineLevel="0" collapsed="false">
      <c r="A26" s="5" t="s">
        <v>203</v>
      </c>
      <c r="B26" s="5" t="s">
        <v>204</v>
      </c>
      <c r="C26" s="5" t="s">
        <v>192</v>
      </c>
      <c r="D26" s="5" t="s">
        <v>8</v>
      </c>
      <c r="E26" s="5" t="s">
        <v>80</v>
      </c>
      <c r="F26" s="5" t="s">
        <v>205</v>
      </c>
      <c r="G26" s="5" t="s">
        <v>206</v>
      </c>
      <c r="H26" s="5" t="s">
        <v>207</v>
      </c>
      <c r="I26" s="5" t="s">
        <v>208</v>
      </c>
      <c r="J26" s="5" t="s">
        <v>66</v>
      </c>
      <c r="K26" s="5" t="s">
        <v>104</v>
      </c>
      <c r="L26" s="5" t="s">
        <v>68</v>
      </c>
      <c r="M26" s="5" t="s">
        <v>5</v>
      </c>
      <c r="N26" s="10" t="n">
        <v>44821</v>
      </c>
      <c r="O26" s="10" t="n">
        <v>45916</v>
      </c>
      <c r="P26" s="5" t="s">
        <v>209</v>
      </c>
      <c r="Q26" s="5" t="s">
        <v>58</v>
      </c>
      <c r="R26" s="5" t="s">
        <v>210</v>
      </c>
      <c r="S26" s="10" t="n">
        <v>46307</v>
      </c>
    </row>
    <row r="27" customFormat="false" ht="15" hidden="false" customHeight="false" outlineLevel="0" collapsed="false">
      <c r="A27" s="5" t="s">
        <v>211</v>
      </c>
      <c r="B27" s="5" t="s">
        <v>212</v>
      </c>
      <c r="C27" s="5" t="s">
        <v>192</v>
      </c>
      <c r="D27" s="5" t="s">
        <v>8</v>
      </c>
      <c r="E27" s="5" t="s">
        <v>49</v>
      </c>
      <c r="F27" s="5" t="s">
        <v>205</v>
      </c>
      <c r="G27" s="5" t="s">
        <v>213</v>
      </c>
      <c r="H27" s="5" t="s">
        <v>214</v>
      </c>
      <c r="I27" s="5" t="s">
        <v>215</v>
      </c>
      <c r="J27" s="5" t="s">
        <v>75</v>
      </c>
      <c r="K27" s="5" t="s">
        <v>76</v>
      </c>
      <c r="L27" s="5" t="s">
        <v>56</v>
      </c>
      <c r="M27" s="5" t="s">
        <v>5</v>
      </c>
      <c r="N27" s="10" t="n">
        <v>44908</v>
      </c>
      <c r="O27" s="10" t="n">
        <v>46003</v>
      </c>
      <c r="P27" s="5" t="s">
        <v>57</v>
      </c>
      <c r="Q27" s="5" t="s">
        <v>58</v>
      </c>
      <c r="R27" s="5" t="s">
        <v>59</v>
      </c>
      <c r="S27" s="10" t="n">
        <v>46306</v>
      </c>
    </row>
    <row r="28" customFormat="false" ht="15" hidden="false" customHeight="false" outlineLevel="0" collapsed="false">
      <c r="A28" s="5" t="s">
        <v>216</v>
      </c>
      <c r="B28" s="5" t="s">
        <v>217</v>
      </c>
      <c r="C28" s="5" t="s">
        <v>48</v>
      </c>
      <c r="D28" s="5" t="s">
        <v>9</v>
      </c>
      <c r="E28" s="5" t="s">
        <v>218</v>
      </c>
      <c r="F28" s="5" t="s">
        <v>219</v>
      </c>
      <c r="G28" s="5" t="s">
        <v>220</v>
      </c>
      <c r="H28" s="5" t="s">
        <v>221</v>
      </c>
      <c r="I28" s="5" t="s">
        <v>222</v>
      </c>
      <c r="J28" s="5" t="s">
        <v>147</v>
      </c>
      <c r="K28" s="5" t="s">
        <v>98</v>
      </c>
      <c r="L28" s="5" t="s">
        <v>136</v>
      </c>
      <c r="M28" s="5" t="s">
        <v>5</v>
      </c>
      <c r="N28" s="10" t="n">
        <v>45841</v>
      </c>
      <c r="O28" s="10" t="n">
        <v>46936</v>
      </c>
      <c r="P28" s="5" t="s">
        <v>57</v>
      </c>
      <c r="Q28" s="5" t="s">
        <v>223</v>
      </c>
      <c r="R28" s="5" t="s">
        <v>59</v>
      </c>
      <c r="S28" s="10" t="n">
        <v>46308</v>
      </c>
    </row>
    <row r="29" customFormat="false" ht="15" hidden="false" customHeight="false" outlineLevel="0" collapsed="false">
      <c r="A29" s="5" t="s">
        <v>224</v>
      </c>
      <c r="B29" s="5" t="s">
        <v>225</v>
      </c>
      <c r="C29" s="5" t="s">
        <v>48</v>
      </c>
      <c r="D29" s="5" t="s">
        <v>9</v>
      </c>
      <c r="E29" s="5" t="s">
        <v>218</v>
      </c>
      <c r="F29" s="5" t="s">
        <v>226</v>
      </c>
      <c r="G29" s="5" t="s">
        <v>227</v>
      </c>
      <c r="H29" s="5" t="s">
        <v>228</v>
      </c>
      <c r="I29" s="5" t="s">
        <v>229</v>
      </c>
      <c r="J29" s="5" t="s">
        <v>97</v>
      </c>
      <c r="K29" s="5" t="s">
        <v>76</v>
      </c>
      <c r="L29" s="5" t="s">
        <v>136</v>
      </c>
      <c r="M29" s="5" t="s">
        <v>197</v>
      </c>
      <c r="N29" s="10" t="n">
        <v>46030</v>
      </c>
      <c r="O29" s="10" t="n">
        <v>47125</v>
      </c>
      <c r="P29" s="5" t="s">
        <v>57</v>
      </c>
      <c r="Q29" s="5" t="s">
        <v>223</v>
      </c>
      <c r="R29" s="5" t="s">
        <v>59</v>
      </c>
      <c r="S29" s="10" t="n">
        <v>46305</v>
      </c>
    </row>
    <row r="30" customFormat="false" ht="15" hidden="false" customHeight="false" outlineLevel="0" collapsed="false">
      <c r="A30" s="5" t="s">
        <v>230</v>
      </c>
      <c r="B30" s="5" t="s">
        <v>231</v>
      </c>
      <c r="C30" s="5" t="s">
        <v>48</v>
      </c>
      <c r="D30" s="5" t="s">
        <v>9</v>
      </c>
      <c r="E30" s="5" t="s">
        <v>232</v>
      </c>
      <c r="F30" s="5" t="s">
        <v>233</v>
      </c>
      <c r="G30" s="5" t="s">
        <v>234</v>
      </c>
      <c r="H30" s="5" t="s">
        <v>235</v>
      </c>
      <c r="I30" s="5" t="s">
        <v>236</v>
      </c>
      <c r="J30" s="5" t="s">
        <v>117</v>
      </c>
      <c r="K30" s="5" t="s">
        <v>85</v>
      </c>
      <c r="L30" s="5" t="s">
        <v>105</v>
      </c>
      <c r="M30" s="5" t="s">
        <v>5</v>
      </c>
      <c r="N30" s="10" t="n">
        <v>45126</v>
      </c>
      <c r="O30" s="10" t="n">
        <v>46221</v>
      </c>
      <c r="P30" s="5" t="s">
        <v>57</v>
      </c>
      <c r="Q30" s="5" t="s">
        <v>223</v>
      </c>
      <c r="R30" s="5" t="s">
        <v>59</v>
      </c>
      <c r="S30" s="10" t="n">
        <v>46303</v>
      </c>
    </row>
    <row r="31" customFormat="false" ht="15" hidden="false" customHeight="false" outlineLevel="0" collapsed="false">
      <c r="A31" s="5" t="s">
        <v>237</v>
      </c>
      <c r="B31" s="5" t="s">
        <v>238</v>
      </c>
      <c r="C31" s="5" t="s">
        <v>48</v>
      </c>
      <c r="D31" s="5" t="s">
        <v>9</v>
      </c>
      <c r="E31" s="5" t="s">
        <v>218</v>
      </c>
      <c r="F31" s="5" t="s">
        <v>219</v>
      </c>
      <c r="G31" s="5" t="s">
        <v>239</v>
      </c>
      <c r="H31" s="5" t="s">
        <v>240</v>
      </c>
      <c r="I31" s="5" t="s">
        <v>241</v>
      </c>
      <c r="J31" s="5" t="s">
        <v>97</v>
      </c>
      <c r="K31" s="5" t="s">
        <v>98</v>
      </c>
      <c r="L31" s="5" t="s">
        <v>136</v>
      </c>
      <c r="M31" s="5" t="s">
        <v>5</v>
      </c>
      <c r="N31" s="10" t="n">
        <v>45561</v>
      </c>
      <c r="O31" s="10" t="n">
        <v>46656</v>
      </c>
      <c r="P31" s="5" t="s">
        <v>57</v>
      </c>
      <c r="Q31" s="5" t="s">
        <v>223</v>
      </c>
      <c r="R31" s="5" t="s">
        <v>59</v>
      </c>
      <c r="S31" s="10" t="n">
        <v>46306</v>
      </c>
    </row>
    <row r="32" customFormat="false" ht="15" hidden="false" customHeight="false" outlineLevel="0" collapsed="false">
      <c r="A32" s="5" t="s">
        <v>242</v>
      </c>
      <c r="B32" s="5" t="s">
        <v>243</v>
      </c>
      <c r="C32" s="5" t="s">
        <v>48</v>
      </c>
      <c r="D32" s="5" t="s">
        <v>9</v>
      </c>
      <c r="E32" s="5" t="s">
        <v>232</v>
      </c>
      <c r="F32" s="5" t="s">
        <v>233</v>
      </c>
      <c r="G32" s="5" t="s">
        <v>244</v>
      </c>
      <c r="H32" s="5" t="s">
        <v>245</v>
      </c>
      <c r="I32" s="5" t="s">
        <v>246</v>
      </c>
      <c r="J32" s="5" t="s">
        <v>117</v>
      </c>
      <c r="K32" s="5" t="s">
        <v>159</v>
      </c>
      <c r="L32" s="5" t="s">
        <v>111</v>
      </c>
      <c r="M32" s="5" t="s">
        <v>5</v>
      </c>
      <c r="N32" s="10" t="n">
        <v>45451</v>
      </c>
      <c r="O32" s="10" t="n">
        <v>46546</v>
      </c>
      <c r="P32" s="5" t="s">
        <v>57</v>
      </c>
      <c r="Q32" s="5" t="s">
        <v>223</v>
      </c>
      <c r="R32" s="5" t="s">
        <v>59</v>
      </c>
      <c r="S32" s="10" t="n">
        <v>46293</v>
      </c>
    </row>
    <row r="33" customFormat="false" ht="15" hidden="false" customHeight="false" outlineLevel="0" collapsed="false">
      <c r="A33" s="5" t="s">
        <v>247</v>
      </c>
      <c r="B33" s="5" t="s">
        <v>248</v>
      </c>
      <c r="C33" s="5" t="s">
        <v>48</v>
      </c>
      <c r="D33" s="5" t="s">
        <v>9</v>
      </c>
      <c r="E33" s="5" t="s">
        <v>232</v>
      </c>
      <c r="F33" s="5" t="s">
        <v>219</v>
      </c>
      <c r="G33" s="5" t="s">
        <v>249</v>
      </c>
      <c r="H33" s="5" t="s">
        <v>250</v>
      </c>
      <c r="I33" s="5" t="s">
        <v>251</v>
      </c>
      <c r="J33" s="5" t="s">
        <v>252</v>
      </c>
      <c r="K33" s="5" t="s">
        <v>135</v>
      </c>
      <c r="L33" s="5" t="s">
        <v>68</v>
      </c>
      <c r="M33" s="5" t="s">
        <v>5</v>
      </c>
      <c r="N33" s="10" t="n">
        <v>45452</v>
      </c>
      <c r="O33" s="10" t="n">
        <v>46547</v>
      </c>
      <c r="P33" s="5" t="s">
        <v>57</v>
      </c>
      <c r="Q33" s="5" t="s">
        <v>223</v>
      </c>
      <c r="R33" s="5" t="s">
        <v>59</v>
      </c>
      <c r="S33" s="10" t="n">
        <v>46306</v>
      </c>
    </row>
    <row r="34" customFormat="false" ht="15" hidden="false" customHeight="false" outlineLevel="0" collapsed="false">
      <c r="A34" s="5" t="s">
        <v>253</v>
      </c>
      <c r="B34" s="5" t="s">
        <v>254</v>
      </c>
      <c r="C34" s="5" t="s">
        <v>48</v>
      </c>
      <c r="D34" s="5" t="s">
        <v>9</v>
      </c>
      <c r="E34" s="5" t="s">
        <v>218</v>
      </c>
      <c r="F34" s="5" t="s">
        <v>233</v>
      </c>
      <c r="G34" s="5" t="s">
        <v>255</v>
      </c>
      <c r="H34" s="5" t="s">
        <v>256</v>
      </c>
      <c r="I34" s="5" t="s">
        <v>257</v>
      </c>
      <c r="J34" s="5" t="s">
        <v>97</v>
      </c>
      <c r="K34" s="5" t="s">
        <v>55</v>
      </c>
      <c r="L34" s="5" t="s">
        <v>111</v>
      </c>
      <c r="M34" s="5" t="s">
        <v>5</v>
      </c>
      <c r="N34" s="10" t="n">
        <v>45716</v>
      </c>
      <c r="O34" s="10" t="n">
        <v>46811</v>
      </c>
      <c r="P34" s="5" t="s">
        <v>57</v>
      </c>
      <c r="Q34" s="5" t="s">
        <v>223</v>
      </c>
      <c r="R34" s="5" t="s">
        <v>59</v>
      </c>
      <c r="S34" s="10" t="n">
        <v>46305</v>
      </c>
    </row>
    <row r="35" customFormat="false" ht="15" hidden="false" customHeight="false" outlineLevel="0" collapsed="false">
      <c r="A35" s="5" t="s">
        <v>258</v>
      </c>
      <c r="B35" s="5" t="s">
        <v>259</v>
      </c>
      <c r="C35" s="5" t="s">
        <v>48</v>
      </c>
      <c r="D35" s="5" t="s">
        <v>9</v>
      </c>
      <c r="E35" s="5" t="s">
        <v>218</v>
      </c>
      <c r="F35" s="5" t="s">
        <v>226</v>
      </c>
      <c r="G35" s="5" t="s">
        <v>260</v>
      </c>
      <c r="H35" s="5" t="s">
        <v>261</v>
      </c>
      <c r="I35" s="5" t="s">
        <v>262</v>
      </c>
      <c r="J35" s="5" t="s">
        <v>123</v>
      </c>
      <c r="K35" s="5" t="s">
        <v>67</v>
      </c>
      <c r="L35" s="5" t="s">
        <v>77</v>
      </c>
      <c r="M35" s="5" t="s">
        <v>197</v>
      </c>
      <c r="N35" s="10" t="n">
        <v>46185</v>
      </c>
      <c r="O35" s="10" t="n">
        <v>47280</v>
      </c>
      <c r="P35" s="5" t="s">
        <v>57</v>
      </c>
      <c r="Q35" s="5" t="s">
        <v>223</v>
      </c>
      <c r="R35" s="5" t="s">
        <v>59</v>
      </c>
      <c r="S35" s="10" t="n">
        <v>46307</v>
      </c>
    </row>
    <row r="36" customFormat="false" ht="15" hidden="false" customHeight="false" outlineLevel="0" collapsed="false">
      <c r="A36" s="5" t="s">
        <v>263</v>
      </c>
      <c r="B36" s="5" t="s">
        <v>264</v>
      </c>
      <c r="C36" s="5" t="s">
        <v>48</v>
      </c>
      <c r="D36" s="5" t="s">
        <v>9</v>
      </c>
      <c r="E36" s="5" t="s">
        <v>265</v>
      </c>
      <c r="F36" s="5" t="s">
        <v>226</v>
      </c>
      <c r="G36" s="5" t="s">
        <v>266</v>
      </c>
      <c r="H36" s="5" t="s">
        <v>267</v>
      </c>
      <c r="I36" s="5" t="s">
        <v>268</v>
      </c>
      <c r="J36" s="5" t="s">
        <v>66</v>
      </c>
      <c r="K36" s="5" t="s">
        <v>85</v>
      </c>
      <c r="L36" s="5" t="s">
        <v>77</v>
      </c>
      <c r="M36" s="5" t="s">
        <v>5</v>
      </c>
      <c r="N36" s="10" t="n">
        <v>45611</v>
      </c>
      <c r="O36" s="10" t="n">
        <v>46706</v>
      </c>
      <c r="P36" s="5" t="s">
        <v>57</v>
      </c>
      <c r="Q36" s="5" t="s">
        <v>223</v>
      </c>
      <c r="R36" s="5" t="s">
        <v>59</v>
      </c>
      <c r="S36" s="10" t="n">
        <v>46308</v>
      </c>
    </row>
    <row r="37" customFormat="false" ht="15" hidden="false" customHeight="false" outlineLevel="0" collapsed="false">
      <c r="A37" s="5" t="s">
        <v>269</v>
      </c>
      <c r="B37" s="5" t="s">
        <v>270</v>
      </c>
      <c r="C37" s="5" t="s">
        <v>48</v>
      </c>
      <c r="D37" s="5" t="s">
        <v>9</v>
      </c>
      <c r="E37" s="5" t="s">
        <v>218</v>
      </c>
      <c r="F37" s="5" t="s">
        <v>226</v>
      </c>
      <c r="G37" s="5" t="s">
        <v>271</v>
      </c>
      <c r="H37" s="5" t="s">
        <v>272</v>
      </c>
      <c r="I37" s="5" t="s">
        <v>273</v>
      </c>
      <c r="J37" s="5" t="s">
        <v>153</v>
      </c>
      <c r="K37" s="5" t="s">
        <v>135</v>
      </c>
      <c r="L37" s="5" t="s">
        <v>68</v>
      </c>
      <c r="M37" s="5" t="s">
        <v>129</v>
      </c>
      <c r="N37" s="10" t="n">
        <v>45371</v>
      </c>
      <c r="O37" s="10" t="n">
        <v>46466</v>
      </c>
      <c r="P37" s="5" t="s">
        <v>57</v>
      </c>
      <c r="Q37" s="5" t="s">
        <v>223</v>
      </c>
      <c r="R37" s="5" t="s">
        <v>210</v>
      </c>
      <c r="S37" s="10" t="n">
        <v>46273</v>
      </c>
    </row>
    <row r="38" customFormat="false" ht="15" hidden="false" customHeight="false" outlineLevel="0" collapsed="false">
      <c r="A38" s="5" t="s">
        <v>274</v>
      </c>
      <c r="B38" s="5" t="s">
        <v>275</v>
      </c>
      <c r="C38" s="5" t="s">
        <v>48</v>
      </c>
      <c r="D38" s="5" t="s">
        <v>9</v>
      </c>
      <c r="E38" s="5" t="s">
        <v>265</v>
      </c>
      <c r="F38" s="5" t="s">
        <v>226</v>
      </c>
      <c r="G38" s="5" t="s">
        <v>276</v>
      </c>
      <c r="H38" s="5" t="s">
        <v>277</v>
      </c>
      <c r="I38" s="5" t="s">
        <v>278</v>
      </c>
      <c r="J38" s="5" t="s">
        <v>75</v>
      </c>
      <c r="K38" s="5" t="s">
        <v>135</v>
      </c>
      <c r="L38" s="5" t="s">
        <v>111</v>
      </c>
      <c r="M38" s="5" t="s">
        <v>5</v>
      </c>
      <c r="N38" s="10" t="n">
        <v>45146</v>
      </c>
      <c r="O38" s="10" t="n">
        <v>46241</v>
      </c>
      <c r="P38" s="5" t="s">
        <v>57</v>
      </c>
      <c r="Q38" s="5" t="s">
        <v>223</v>
      </c>
      <c r="R38" s="5" t="s">
        <v>59</v>
      </c>
      <c r="S38" s="10" t="n">
        <v>46303</v>
      </c>
    </row>
    <row r="39" customFormat="false" ht="15" hidden="false" customHeight="false" outlineLevel="0" collapsed="false">
      <c r="A39" s="5" t="s">
        <v>279</v>
      </c>
      <c r="B39" s="5" t="s">
        <v>280</v>
      </c>
      <c r="C39" s="5" t="s">
        <v>48</v>
      </c>
      <c r="D39" s="5" t="s">
        <v>9</v>
      </c>
      <c r="E39" s="5" t="s">
        <v>265</v>
      </c>
      <c r="F39" s="5" t="s">
        <v>233</v>
      </c>
      <c r="G39" s="5" t="s">
        <v>281</v>
      </c>
      <c r="H39" s="5" t="s">
        <v>282</v>
      </c>
      <c r="I39" s="5" t="s">
        <v>283</v>
      </c>
      <c r="J39" s="5" t="s">
        <v>91</v>
      </c>
      <c r="K39" s="5" t="s">
        <v>135</v>
      </c>
      <c r="L39" s="5" t="s">
        <v>136</v>
      </c>
      <c r="M39" s="5" t="s">
        <v>129</v>
      </c>
      <c r="N39" s="10" t="n">
        <v>45876</v>
      </c>
      <c r="O39" s="10" t="n">
        <v>46971</v>
      </c>
      <c r="P39" s="5" t="s">
        <v>57</v>
      </c>
      <c r="Q39" s="5" t="s">
        <v>223</v>
      </c>
      <c r="R39" s="5" t="s">
        <v>59</v>
      </c>
      <c r="S39" s="10" t="n">
        <v>46303</v>
      </c>
    </row>
    <row r="40" customFormat="false" ht="15" hidden="false" customHeight="false" outlineLevel="0" collapsed="false">
      <c r="A40" s="5" t="s">
        <v>284</v>
      </c>
      <c r="B40" s="5" t="s">
        <v>285</v>
      </c>
      <c r="C40" s="5" t="s">
        <v>48</v>
      </c>
      <c r="D40" s="5" t="s">
        <v>9</v>
      </c>
      <c r="E40" s="5" t="s">
        <v>265</v>
      </c>
      <c r="F40" s="5" t="s">
        <v>219</v>
      </c>
      <c r="G40" s="5" t="s">
        <v>286</v>
      </c>
      <c r="H40" s="5" t="s">
        <v>287</v>
      </c>
      <c r="I40" s="5" t="s">
        <v>288</v>
      </c>
      <c r="J40" s="5" t="s">
        <v>97</v>
      </c>
      <c r="K40" s="5" t="s">
        <v>76</v>
      </c>
      <c r="L40" s="5" t="s">
        <v>136</v>
      </c>
      <c r="M40" s="5" t="s">
        <v>129</v>
      </c>
      <c r="N40" s="10" t="n">
        <v>44926</v>
      </c>
      <c r="O40" s="10" t="n">
        <v>46021</v>
      </c>
      <c r="P40" s="5" t="s">
        <v>57</v>
      </c>
      <c r="Q40" s="5" t="s">
        <v>223</v>
      </c>
      <c r="R40" s="5" t="s">
        <v>59</v>
      </c>
      <c r="S40" s="10" t="n">
        <v>46248</v>
      </c>
    </row>
    <row r="41" customFormat="false" ht="15" hidden="false" customHeight="false" outlineLevel="0" collapsed="false">
      <c r="A41" s="5" t="s">
        <v>289</v>
      </c>
      <c r="B41" s="5" t="s">
        <v>290</v>
      </c>
      <c r="C41" s="5" t="s">
        <v>48</v>
      </c>
      <c r="D41" s="5" t="s">
        <v>9</v>
      </c>
      <c r="E41" s="5" t="s">
        <v>265</v>
      </c>
      <c r="F41" s="5" t="s">
        <v>233</v>
      </c>
      <c r="G41" s="5" t="s">
        <v>291</v>
      </c>
      <c r="H41" s="5" t="s">
        <v>292</v>
      </c>
      <c r="I41" s="5" t="s">
        <v>293</v>
      </c>
      <c r="J41" s="5" t="s">
        <v>91</v>
      </c>
      <c r="K41" s="5" t="s">
        <v>98</v>
      </c>
      <c r="L41" s="5" t="s">
        <v>111</v>
      </c>
      <c r="M41" s="5" t="s">
        <v>197</v>
      </c>
      <c r="N41" s="10" t="n">
        <v>44809</v>
      </c>
      <c r="O41" s="10" t="n">
        <v>45904</v>
      </c>
      <c r="P41" s="5" t="s">
        <v>57</v>
      </c>
      <c r="Q41" s="5" t="s">
        <v>223</v>
      </c>
      <c r="R41" s="5" t="s">
        <v>210</v>
      </c>
      <c r="S41" s="10" t="n">
        <v>46303</v>
      </c>
    </row>
    <row r="42" customFormat="false" ht="15" hidden="false" customHeight="false" outlineLevel="0" collapsed="false">
      <c r="A42" s="5" t="s">
        <v>294</v>
      </c>
      <c r="B42" s="5" t="s">
        <v>295</v>
      </c>
      <c r="C42" s="5" t="s">
        <v>48</v>
      </c>
      <c r="D42" s="5" t="s">
        <v>10</v>
      </c>
      <c r="E42" s="5" t="s">
        <v>296</v>
      </c>
      <c r="F42" s="5" t="s">
        <v>297</v>
      </c>
      <c r="G42" s="5" t="s">
        <v>298</v>
      </c>
      <c r="H42" s="5" t="s">
        <v>299</v>
      </c>
      <c r="I42" s="5" t="s">
        <v>300</v>
      </c>
      <c r="J42" s="5" t="s">
        <v>66</v>
      </c>
      <c r="K42" s="5" t="s">
        <v>67</v>
      </c>
      <c r="L42" s="5" t="s">
        <v>105</v>
      </c>
      <c r="M42" s="5" t="s">
        <v>5</v>
      </c>
      <c r="N42" s="10" t="n">
        <v>45669</v>
      </c>
      <c r="O42" s="10" t="n">
        <v>46764</v>
      </c>
      <c r="P42" s="5" t="s">
        <v>57</v>
      </c>
      <c r="Q42" s="5" t="s">
        <v>301</v>
      </c>
      <c r="R42" s="5" t="s">
        <v>59</v>
      </c>
      <c r="S42" s="10" t="n">
        <v>46308</v>
      </c>
    </row>
    <row r="43" customFormat="false" ht="15" hidden="false" customHeight="false" outlineLevel="0" collapsed="false">
      <c r="A43" s="5" t="s">
        <v>302</v>
      </c>
      <c r="B43" s="5" t="s">
        <v>303</v>
      </c>
      <c r="C43" s="5" t="s">
        <v>48</v>
      </c>
      <c r="D43" s="5" t="s">
        <v>10</v>
      </c>
      <c r="E43" s="5" t="s">
        <v>296</v>
      </c>
      <c r="F43" s="5" t="s">
        <v>304</v>
      </c>
      <c r="G43" s="5" t="s">
        <v>305</v>
      </c>
      <c r="H43" s="5" t="s">
        <v>306</v>
      </c>
      <c r="I43" s="5" t="s">
        <v>307</v>
      </c>
      <c r="J43" s="5" t="s">
        <v>75</v>
      </c>
      <c r="K43" s="5" t="s">
        <v>55</v>
      </c>
      <c r="L43" s="5" t="s">
        <v>68</v>
      </c>
      <c r="M43" s="5" t="s">
        <v>5</v>
      </c>
      <c r="N43" s="10" t="n">
        <v>45073</v>
      </c>
      <c r="O43" s="10" t="n">
        <v>46168</v>
      </c>
      <c r="P43" s="5" t="s">
        <v>209</v>
      </c>
      <c r="Q43" s="5" t="s">
        <v>301</v>
      </c>
      <c r="R43" s="5" t="s">
        <v>59</v>
      </c>
      <c r="S43" s="10" t="n">
        <v>46307</v>
      </c>
    </row>
    <row r="44" customFormat="false" ht="15" hidden="false" customHeight="false" outlineLevel="0" collapsed="false">
      <c r="A44" s="5" t="s">
        <v>308</v>
      </c>
      <c r="B44" s="5" t="s">
        <v>309</v>
      </c>
      <c r="C44" s="5" t="s">
        <v>48</v>
      </c>
      <c r="D44" s="5" t="s">
        <v>10</v>
      </c>
      <c r="E44" s="5" t="s">
        <v>310</v>
      </c>
      <c r="F44" s="5" t="s">
        <v>304</v>
      </c>
      <c r="G44" s="5" t="s">
        <v>311</v>
      </c>
      <c r="H44" s="5" t="s">
        <v>312</v>
      </c>
      <c r="I44" s="5" t="s">
        <v>313</v>
      </c>
      <c r="J44" s="5" t="s">
        <v>147</v>
      </c>
      <c r="K44" s="5" t="s">
        <v>104</v>
      </c>
      <c r="L44" s="5" t="s">
        <v>77</v>
      </c>
      <c r="M44" s="5" t="s">
        <v>197</v>
      </c>
      <c r="N44" s="10" t="n">
        <v>46074</v>
      </c>
      <c r="O44" s="10" t="n">
        <v>47169</v>
      </c>
      <c r="P44" s="5" t="s">
        <v>57</v>
      </c>
      <c r="Q44" s="5" t="s">
        <v>301</v>
      </c>
      <c r="R44" s="5" t="s">
        <v>210</v>
      </c>
      <c r="S44" s="10" t="n">
        <v>46307</v>
      </c>
    </row>
    <row r="45" customFormat="false" ht="15" hidden="false" customHeight="false" outlineLevel="0" collapsed="false">
      <c r="A45" s="5" t="s">
        <v>314</v>
      </c>
      <c r="B45" s="5" t="s">
        <v>315</v>
      </c>
      <c r="C45" s="5" t="s">
        <v>48</v>
      </c>
      <c r="D45" s="5" t="s">
        <v>10</v>
      </c>
      <c r="E45" s="5" t="s">
        <v>296</v>
      </c>
      <c r="F45" s="5" t="s">
        <v>316</v>
      </c>
      <c r="G45" s="5" t="s">
        <v>317</v>
      </c>
      <c r="H45" s="5" t="s">
        <v>318</v>
      </c>
      <c r="I45" s="5" t="s">
        <v>319</v>
      </c>
      <c r="J45" s="5" t="s">
        <v>75</v>
      </c>
      <c r="K45" s="5" t="s">
        <v>98</v>
      </c>
      <c r="L45" s="5" t="s">
        <v>111</v>
      </c>
      <c r="M45" s="5" t="s">
        <v>5</v>
      </c>
      <c r="N45" s="10" t="n">
        <v>46045</v>
      </c>
      <c r="O45" s="10" t="n">
        <v>47140</v>
      </c>
      <c r="P45" s="5" t="s">
        <v>57</v>
      </c>
      <c r="Q45" s="5" t="s">
        <v>301</v>
      </c>
      <c r="R45" s="5" t="s">
        <v>59</v>
      </c>
      <c r="S45" s="10" t="n">
        <v>46307</v>
      </c>
    </row>
    <row r="46" customFormat="false" ht="15" hidden="false" customHeight="false" outlineLevel="0" collapsed="false">
      <c r="A46" s="5" t="s">
        <v>320</v>
      </c>
      <c r="B46" s="5" t="s">
        <v>321</v>
      </c>
      <c r="C46" s="5" t="s">
        <v>48</v>
      </c>
      <c r="D46" s="5" t="s">
        <v>10</v>
      </c>
      <c r="E46" s="5" t="s">
        <v>322</v>
      </c>
      <c r="F46" s="5" t="s">
        <v>316</v>
      </c>
      <c r="G46" s="5" t="s">
        <v>323</v>
      </c>
      <c r="H46" s="5" t="s">
        <v>324</v>
      </c>
      <c r="I46" s="5" t="s">
        <v>325</v>
      </c>
      <c r="J46" s="5" t="s">
        <v>91</v>
      </c>
      <c r="K46" s="5" t="s">
        <v>67</v>
      </c>
      <c r="L46" s="5" t="s">
        <v>111</v>
      </c>
      <c r="M46" s="5" t="s">
        <v>5</v>
      </c>
      <c r="N46" s="10" t="n">
        <v>45669</v>
      </c>
      <c r="O46" s="10" t="n">
        <v>46764</v>
      </c>
      <c r="P46" s="5" t="s">
        <v>57</v>
      </c>
      <c r="Q46" s="5" t="s">
        <v>301</v>
      </c>
      <c r="R46" s="5" t="s">
        <v>59</v>
      </c>
      <c r="S46" s="10" t="n">
        <v>46248</v>
      </c>
    </row>
    <row r="47" customFormat="false" ht="15" hidden="false" customHeight="false" outlineLevel="0" collapsed="false">
      <c r="A47" s="5" t="s">
        <v>326</v>
      </c>
      <c r="B47" s="5" t="s">
        <v>327</v>
      </c>
      <c r="C47" s="5" t="s">
        <v>48</v>
      </c>
      <c r="D47" s="5" t="s">
        <v>10</v>
      </c>
      <c r="E47" s="5" t="s">
        <v>296</v>
      </c>
      <c r="F47" s="5" t="s">
        <v>297</v>
      </c>
      <c r="G47" s="5" t="s">
        <v>328</v>
      </c>
      <c r="H47" s="5" t="s">
        <v>329</v>
      </c>
      <c r="I47" s="5" t="s">
        <v>330</v>
      </c>
      <c r="J47" s="5" t="s">
        <v>75</v>
      </c>
      <c r="K47" s="5" t="s">
        <v>55</v>
      </c>
      <c r="L47" s="5" t="s">
        <v>136</v>
      </c>
      <c r="M47" s="5" t="s">
        <v>5</v>
      </c>
      <c r="N47" s="10" t="n">
        <v>45909</v>
      </c>
      <c r="O47" s="10" t="n">
        <v>47004</v>
      </c>
      <c r="P47" s="5" t="s">
        <v>209</v>
      </c>
      <c r="Q47" s="5" t="s">
        <v>301</v>
      </c>
      <c r="R47" s="5" t="s">
        <v>59</v>
      </c>
      <c r="S47" s="10" t="n">
        <v>46307</v>
      </c>
    </row>
  </sheetData>
  <autoFilter ref="A1:S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6" min="5" style="0" width="22"/>
    <col collapsed="false" customWidth="true" hidden="false" outlineLevel="0" max="7" min="7" style="0" width="12"/>
    <col collapsed="false" customWidth="true" hidden="false" outlineLevel="0" max="8" min="8" style="0" width="7"/>
    <col collapsed="false" customWidth="true" hidden="false" outlineLevel="0" max="9" min="9" style="0" width="9"/>
    <col collapsed="false" customWidth="true" hidden="false" outlineLevel="0" max="10" min="10" style="0" width="15"/>
    <col collapsed="false" customWidth="true" hidden="false" outlineLevel="0" max="11" min="11" style="0" width="20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4" min="14" style="0" width="10"/>
    <col collapsed="false" customWidth="true" hidden="false" outlineLevel="0" max="16" min="15" style="0" width="13"/>
    <col collapsed="false" customWidth="true" hidden="false" outlineLevel="0" max="17" min="17" style="0" width="19"/>
    <col collapsed="false" customWidth="true" hidden="false" outlineLevel="0" max="18" min="18" style="0" width="11"/>
    <col collapsed="false" customWidth="true" hidden="false" outlineLevel="0" max="19" min="19" style="0" width="15"/>
  </cols>
  <sheetData>
    <row r="1" customFormat="false" ht="23.85" hidden="false" customHeight="false" outlineLevel="0" collapsed="false">
      <c r="A1" s="11" t="s">
        <v>28</v>
      </c>
      <c r="B1" s="11" t="s">
        <v>29</v>
      </c>
      <c r="C1" s="11" t="s">
        <v>331</v>
      </c>
      <c r="D1" s="11" t="s">
        <v>3</v>
      </c>
      <c r="E1" s="11" t="s">
        <v>31</v>
      </c>
      <c r="F1" s="11" t="s">
        <v>332</v>
      </c>
      <c r="G1" s="11" t="s">
        <v>333</v>
      </c>
      <c r="H1" s="11" t="s">
        <v>334</v>
      </c>
      <c r="I1" s="11" t="s">
        <v>335</v>
      </c>
      <c r="J1" s="11" t="s">
        <v>34</v>
      </c>
      <c r="K1" s="11" t="s">
        <v>336</v>
      </c>
      <c r="L1" s="11" t="s">
        <v>337</v>
      </c>
      <c r="M1" s="11" t="s">
        <v>36</v>
      </c>
      <c r="N1" s="11" t="s">
        <v>338</v>
      </c>
      <c r="O1" s="11" t="s">
        <v>339</v>
      </c>
      <c r="P1" s="11" t="s">
        <v>340</v>
      </c>
      <c r="Q1" s="11" t="s">
        <v>42</v>
      </c>
      <c r="R1" s="11" t="s">
        <v>341</v>
      </c>
      <c r="S1" s="11" t="s">
        <v>39</v>
      </c>
    </row>
    <row r="2" customFormat="false" ht="15" hidden="false" customHeight="false" outlineLevel="0" collapsed="false">
      <c r="A2" s="5" t="s">
        <v>342</v>
      </c>
      <c r="B2" s="5" t="s">
        <v>343</v>
      </c>
      <c r="C2" s="5" t="s">
        <v>344</v>
      </c>
      <c r="D2" s="5" t="s">
        <v>15</v>
      </c>
      <c r="E2" s="5" t="s">
        <v>345</v>
      </c>
      <c r="F2" s="5" t="s">
        <v>346</v>
      </c>
      <c r="G2" s="5" t="s">
        <v>12</v>
      </c>
      <c r="H2" s="5" t="n">
        <v>64</v>
      </c>
      <c r="I2" s="5" t="n">
        <v>16</v>
      </c>
      <c r="J2" s="5" t="s">
        <v>347</v>
      </c>
      <c r="K2" s="5" t="s">
        <v>348</v>
      </c>
      <c r="L2" s="5" t="s">
        <v>104</v>
      </c>
      <c r="M2" s="5" t="s">
        <v>153</v>
      </c>
      <c r="N2" s="5" t="s">
        <v>349</v>
      </c>
      <c r="O2" s="5" t="s">
        <v>14</v>
      </c>
      <c r="P2" s="10" t="n">
        <v>46224</v>
      </c>
      <c r="Q2" s="5" t="s">
        <v>57</v>
      </c>
      <c r="R2" s="5" t="s">
        <v>350</v>
      </c>
      <c r="S2" s="5" t="s">
        <v>5</v>
      </c>
    </row>
    <row r="3" customFormat="false" ht="15" hidden="false" customHeight="false" outlineLevel="0" collapsed="false">
      <c r="A3" s="5" t="s">
        <v>351</v>
      </c>
      <c r="B3" s="5" t="s">
        <v>352</v>
      </c>
      <c r="C3" s="5" t="s">
        <v>353</v>
      </c>
      <c r="D3" s="5" t="s">
        <v>15</v>
      </c>
      <c r="E3" s="5" t="s">
        <v>354</v>
      </c>
      <c r="F3" s="5" t="s">
        <v>355</v>
      </c>
      <c r="G3" s="5" t="s">
        <v>356</v>
      </c>
      <c r="H3" s="5" t="n">
        <v>16</v>
      </c>
      <c r="I3" s="5" t="n">
        <v>128</v>
      </c>
      <c r="J3" s="5" t="s">
        <v>357</v>
      </c>
      <c r="K3" s="5" t="s">
        <v>358</v>
      </c>
      <c r="L3" s="5" t="s">
        <v>55</v>
      </c>
      <c r="M3" s="5" t="s">
        <v>123</v>
      </c>
      <c r="N3" s="5" t="s">
        <v>349</v>
      </c>
      <c r="O3" s="5" t="s">
        <v>359</v>
      </c>
      <c r="P3" s="10" t="n">
        <v>46271</v>
      </c>
      <c r="Q3" s="5" t="s">
        <v>57</v>
      </c>
      <c r="R3" s="5" t="s">
        <v>360</v>
      </c>
      <c r="S3" s="5" t="s">
        <v>5</v>
      </c>
    </row>
    <row r="4" customFormat="false" ht="15" hidden="false" customHeight="false" outlineLevel="0" collapsed="false">
      <c r="A4" s="5" t="s">
        <v>361</v>
      </c>
      <c r="B4" s="5" t="s">
        <v>362</v>
      </c>
      <c r="C4" s="5" t="s">
        <v>363</v>
      </c>
      <c r="D4" s="5" t="s">
        <v>15</v>
      </c>
      <c r="E4" s="5" t="s">
        <v>364</v>
      </c>
      <c r="F4" s="5" t="s">
        <v>365</v>
      </c>
      <c r="G4" s="5" t="s">
        <v>12</v>
      </c>
      <c r="H4" s="5" t="n">
        <v>32</v>
      </c>
      <c r="I4" s="5" t="n">
        <v>256</v>
      </c>
      <c r="J4" s="5" t="s">
        <v>366</v>
      </c>
      <c r="K4" s="5" t="s">
        <v>367</v>
      </c>
      <c r="L4" s="5" t="s">
        <v>85</v>
      </c>
      <c r="M4" s="5" t="s">
        <v>54</v>
      </c>
      <c r="N4" s="5" t="s">
        <v>368</v>
      </c>
      <c r="O4" s="5" t="s">
        <v>14</v>
      </c>
      <c r="P4" s="10" t="n">
        <v>46261</v>
      </c>
      <c r="Q4" s="5" t="s">
        <v>209</v>
      </c>
      <c r="R4" s="5" t="s">
        <v>369</v>
      </c>
      <c r="S4" s="5" t="s">
        <v>5</v>
      </c>
    </row>
    <row r="5" customFormat="false" ht="15" hidden="false" customHeight="false" outlineLevel="0" collapsed="false">
      <c r="A5" s="5" t="s">
        <v>370</v>
      </c>
      <c r="B5" s="5" t="s">
        <v>371</v>
      </c>
      <c r="C5" s="5" t="s">
        <v>363</v>
      </c>
      <c r="D5" s="5" t="s">
        <v>15</v>
      </c>
      <c r="E5" s="5" t="s">
        <v>345</v>
      </c>
      <c r="F5" s="5" t="s">
        <v>372</v>
      </c>
      <c r="G5" s="5" t="s">
        <v>12</v>
      </c>
      <c r="H5" s="5" t="n">
        <v>16</v>
      </c>
      <c r="I5" s="5" t="n">
        <v>128</v>
      </c>
      <c r="J5" s="5" t="s">
        <v>373</v>
      </c>
      <c r="K5" s="5" t="s">
        <v>358</v>
      </c>
      <c r="L5" s="5" t="s">
        <v>104</v>
      </c>
      <c r="M5" s="5" t="s">
        <v>75</v>
      </c>
      <c r="N5" s="5" t="s">
        <v>368</v>
      </c>
      <c r="O5" s="5" t="s">
        <v>374</v>
      </c>
      <c r="P5" s="10" t="n">
        <v>46268</v>
      </c>
      <c r="Q5" s="5" t="s">
        <v>57</v>
      </c>
      <c r="R5" s="5" t="s">
        <v>360</v>
      </c>
      <c r="S5" s="5" t="s">
        <v>5</v>
      </c>
    </row>
    <row r="6" customFormat="false" ht="15" hidden="false" customHeight="false" outlineLevel="0" collapsed="false">
      <c r="A6" s="5" t="s">
        <v>375</v>
      </c>
      <c r="B6" s="5" t="s">
        <v>376</v>
      </c>
      <c r="C6" s="5" t="s">
        <v>344</v>
      </c>
      <c r="D6" s="5" t="s">
        <v>15</v>
      </c>
      <c r="E6" s="5" t="s">
        <v>354</v>
      </c>
      <c r="F6" s="5" t="s">
        <v>355</v>
      </c>
      <c r="G6" s="5" t="s">
        <v>356</v>
      </c>
      <c r="H6" s="5" t="n">
        <v>4</v>
      </c>
      <c r="I6" s="5" t="n">
        <v>32</v>
      </c>
      <c r="J6" s="5" t="s">
        <v>377</v>
      </c>
      <c r="K6" s="5" t="s">
        <v>348</v>
      </c>
      <c r="L6" s="5" t="s">
        <v>76</v>
      </c>
      <c r="M6" s="5" t="s">
        <v>147</v>
      </c>
      <c r="N6" s="5" t="s">
        <v>349</v>
      </c>
      <c r="O6" s="5" t="s">
        <v>359</v>
      </c>
      <c r="P6" s="10" t="n">
        <v>46276</v>
      </c>
      <c r="Q6" s="5" t="s">
        <v>57</v>
      </c>
      <c r="R6" s="5" t="s">
        <v>360</v>
      </c>
      <c r="S6" s="5" t="s">
        <v>5</v>
      </c>
    </row>
    <row r="7" customFormat="false" ht="15" hidden="false" customHeight="false" outlineLevel="0" collapsed="false">
      <c r="A7" s="5" t="s">
        <v>378</v>
      </c>
      <c r="B7" s="5" t="s">
        <v>379</v>
      </c>
      <c r="C7" s="5" t="s">
        <v>380</v>
      </c>
      <c r="D7" s="5" t="s">
        <v>15</v>
      </c>
      <c r="E7" s="5" t="s">
        <v>345</v>
      </c>
      <c r="F7" s="5" t="s">
        <v>372</v>
      </c>
      <c r="G7" s="5" t="s">
        <v>12</v>
      </c>
      <c r="H7" s="5" t="n">
        <v>4</v>
      </c>
      <c r="I7" s="5" t="n">
        <v>64</v>
      </c>
      <c r="J7" s="5" t="s">
        <v>381</v>
      </c>
      <c r="K7" s="5" t="s">
        <v>367</v>
      </c>
      <c r="L7" s="5" t="s">
        <v>76</v>
      </c>
      <c r="M7" s="5" t="s">
        <v>97</v>
      </c>
      <c r="N7" s="5" t="s">
        <v>368</v>
      </c>
      <c r="O7" s="5" t="s">
        <v>374</v>
      </c>
      <c r="P7" s="10" t="n">
        <v>46271</v>
      </c>
      <c r="Q7" s="5" t="s">
        <v>57</v>
      </c>
      <c r="R7" s="5" t="s">
        <v>369</v>
      </c>
      <c r="S7" s="5" t="s">
        <v>5</v>
      </c>
    </row>
    <row r="8" customFormat="false" ht="15" hidden="false" customHeight="false" outlineLevel="0" collapsed="false">
      <c r="A8" s="5" t="s">
        <v>382</v>
      </c>
      <c r="B8" s="5" t="s">
        <v>383</v>
      </c>
      <c r="C8" s="5" t="s">
        <v>353</v>
      </c>
      <c r="D8" s="5" t="s">
        <v>15</v>
      </c>
      <c r="E8" s="5" t="s">
        <v>364</v>
      </c>
      <c r="F8" s="5" t="s">
        <v>384</v>
      </c>
      <c r="G8" s="5" t="s">
        <v>356</v>
      </c>
      <c r="H8" s="5" t="n">
        <v>64</v>
      </c>
      <c r="I8" s="5" t="n">
        <v>256</v>
      </c>
      <c r="J8" s="5" t="s">
        <v>385</v>
      </c>
      <c r="K8" s="5" t="s">
        <v>348</v>
      </c>
      <c r="L8" s="5" t="s">
        <v>55</v>
      </c>
      <c r="M8" s="5" t="s">
        <v>91</v>
      </c>
      <c r="N8" s="5" t="s">
        <v>386</v>
      </c>
      <c r="O8" s="5" t="s">
        <v>359</v>
      </c>
      <c r="P8" s="10" t="n">
        <v>46278</v>
      </c>
      <c r="Q8" s="5" t="s">
        <v>57</v>
      </c>
      <c r="R8" s="5" t="s">
        <v>360</v>
      </c>
      <c r="S8" s="5" t="s">
        <v>5</v>
      </c>
    </row>
    <row r="9" customFormat="false" ht="15" hidden="false" customHeight="false" outlineLevel="0" collapsed="false">
      <c r="A9" s="5" t="s">
        <v>387</v>
      </c>
      <c r="B9" s="5" t="s">
        <v>388</v>
      </c>
      <c r="C9" s="5" t="s">
        <v>353</v>
      </c>
      <c r="D9" s="5" t="s">
        <v>15</v>
      </c>
      <c r="E9" s="5" t="s">
        <v>364</v>
      </c>
      <c r="F9" s="5" t="s">
        <v>372</v>
      </c>
      <c r="G9" s="5" t="s">
        <v>356</v>
      </c>
      <c r="H9" s="5" t="n">
        <v>32</v>
      </c>
      <c r="I9" s="5" t="n">
        <v>16</v>
      </c>
      <c r="J9" s="5" t="s">
        <v>389</v>
      </c>
      <c r="K9" s="5" t="s">
        <v>348</v>
      </c>
      <c r="L9" s="5" t="s">
        <v>104</v>
      </c>
      <c r="M9" s="5" t="s">
        <v>117</v>
      </c>
      <c r="N9" s="5" t="s">
        <v>390</v>
      </c>
      <c r="O9" s="5" t="s">
        <v>14</v>
      </c>
      <c r="P9" s="10" t="n">
        <v>46191</v>
      </c>
      <c r="Q9" s="5" t="s">
        <v>57</v>
      </c>
      <c r="R9" s="5" t="s">
        <v>360</v>
      </c>
      <c r="S9" s="5" t="s">
        <v>5</v>
      </c>
    </row>
    <row r="10" customFormat="false" ht="15" hidden="false" customHeight="false" outlineLevel="0" collapsed="false">
      <c r="A10" s="5" t="s">
        <v>391</v>
      </c>
      <c r="B10" s="5" t="s">
        <v>392</v>
      </c>
      <c r="C10" s="5" t="s">
        <v>344</v>
      </c>
      <c r="D10" s="5" t="s">
        <v>15</v>
      </c>
      <c r="E10" s="5" t="s">
        <v>354</v>
      </c>
      <c r="F10" s="5" t="s">
        <v>355</v>
      </c>
      <c r="G10" s="5" t="s">
        <v>356</v>
      </c>
      <c r="H10" s="5" t="n">
        <v>16</v>
      </c>
      <c r="I10" s="5" t="n">
        <v>64</v>
      </c>
      <c r="J10" s="5" t="s">
        <v>393</v>
      </c>
      <c r="K10" s="5" t="s">
        <v>358</v>
      </c>
      <c r="L10" s="5" t="s">
        <v>76</v>
      </c>
      <c r="M10" s="5" t="s">
        <v>97</v>
      </c>
      <c r="N10" s="5" t="s">
        <v>349</v>
      </c>
      <c r="O10" s="5" t="s">
        <v>394</v>
      </c>
      <c r="P10" s="10" t="n">
        <v>46227</v>
      </c>
      <c r="Q10" s="5" t="s">
        <v>57</v>
      </c>
      <c r="R10" s="5" t="s">
        <v>360</v>
      </c>
      <c r="S10" s="5" t="s">
        <v>395</v>
      </c>
    </row>
    <row r="11" customFormat="false" ht="15" hidden="false" customHeight="false" outlineLevel="0" collapsed="false">
      <c r="A11" s="5" t="s">
        <v>396</v>
      </c>
      <c r="B11" s="5" t="s">
        <v>397</v>
      </c>
      <c r="C11" s="5" t="s">
        <v>363</v>
      </c>
      <c r="D11" s="5" t="s">
        <v>15</v>
      </c>
      <c r="E11" s="5" t="s">
        <v>354</v>
      </c>
      <c r="F11" s="5" t="s">
        <v>365</v>
      </c>
      <c r="G11" s="5" t="s">
        <v>12</v>
      </c>
      <c r="H11" s="5" t="n">
        <v>32</v>
      </c>
      <c r="I11" s="5" t="n">
        <v>16</v>
      </c>
      <c r="J11" s="5" t="s">
        <v>398</v>
      </c>
      <c r="K11" s="5" t="s">
        <v>358</v>
      </c>
      <c r="L11" s="5" t="s">
        <v>85</v>
      </c>
      <c r="M11" s="5" t="s">
        <v>153</v>
      </c>
      <c r="N11" s="5" t="s">
        <v>368</v>
      </c>
      <c r="O11" s="5" t="s">
        <v>374</v>
      </c>
      <c r="P11" s="10" t="n">
        <v>46302</v>
      </c>
      <c r="Q11" s="5" t="s">
        <v>57</v>
      </c>
      <c r="R11" s="5" t="s">
        <v>360</v>
      </c>
      <c r="S11" s="5" t="s">
        <v>5</v>
      </c>
    </row>
    <row r="12" customFormat="false" ht="15" hidden="false" customHeight="false" outlineLevel="0" collapsed="false">
      <c r="A12" s="5" t="s">
        <v>399</v>
      </c>
      <c r="B12" s="5" t="s">
        <v>400</v>
      </c>
      <c r="C12" s="5" t="s">
        <v>401</v>
      </c>
      <c r="D12" s="5" t="s">
        <v>10</v>
      </c>
      <c r="E12" s="5" t="s">
        <v>402</v>
      </c>
      <c r="F12" s="5" t="s">
        <v>372</v>
      </c>
      <c r="G12" s="5" t="s">
        <v>403</v>
      </c>
      <c r="H12" s="5" t="n">
        <v>64</v>
      </c>
      <c r="I12" s="5" t="n">
        <v>128</v>
      </c>
      <c r="J12" s="5" t="s">
        <v>404</v>
      </c>
      <c r="K12" s="5" t="s">
        <v>405</v>
      </c>
      <c r="L12" s="5" t="s">
        <v>55</v>
      </c>
      <c r="M12" s="5" t="s">
        <v>153</v>
      </c>
      <c r="N12" s="5" t="s">
        <v>390</v>
      </c>
      <c r="O12" s="5" t="s">
        <v>14</v>
      </c>
      <c r="P12" s="10" t="n">
        <v>46196</v>
      </c>
      <c r="Q12" s="5" t="s">
        <v>57</v>
      </c>
      <c r="R12" s="5" t="s">
        <v>360</v>
      </c>
      <c r="S12" s="5" t="s">
        <v>5</v>
      </c>
    </row>
    <row r="13" customFormat="false" ht="15" hidden="false" customHeight="false" outlineLevel="0" collapsed="false">
      <c r="A13" s="5" t="s">
        <v>406</v>
      </c>
      <c r="B13" s="5" t="s">
        <v>407</v>
      </c>
      <c r="C13" s="5" t="s">
        <v>401</v>
      </c>
      <c r="D13" s="5" t="s">
        <v>10</v>
      </c>
      <c r="E13" s="5" t="s">
        <v>322</v>
      </c>
      <c r="F13" s="5" t="s">
        <v>355</v>
      </c>
      <c r="G13" s="5" t="s">
        <v>12</v>
      </c>
      <c r="H13" s="5" t="n">
        <v>16</v>
      </c>
      <c r="I13" s="5" t="n">
        <v>16</v>
      </c>
      <c r="J13" s="5" t="s">
        <v>408</v>
      </c>
      <c r="K13" s="5" t="s">
        <v>348</v>
      </c>
      <c r="L13" s="5" t="s">
        <v>55</v>
      </c>
      <c r="M13" s="5" t="s">
        <v>252</v>
      </c>
      <c r="N13" s="5" t="s">
        <v>349</v>
      </c>
      <c r="O13" s="5" t="s">
        <v>394</v>
      </c>
      <c r="P13" s="10" t="n">
        <v>46232</v>
      </c>
      <c r="Q13" s="5" t="s">
        <v>57</v>
      </c>
      <c r="R13" s="5" t="s">
        <v>369</v>
      </c>
      <c r="S13" s="5" t="s">
        <v>5</v>
      </c>
    </row>
    <row r="14" customFormat="false" ht="15" hidden="false" customHeight="false" outlineLevel="0" collapsed="false">
      <c r="A14" s="5" t="s">
        <v>409</v>
      </c>
      <c r="B14" s="5" t="s">
        <v>410</v>
      </c>
      <c r="C14" s="5" t="s">
        <v>411</v>
      </c>
      <c r="D14" s="5" t="s">
        <v>10</v>
      </c>
      <c r="E14" s="5" t="s">
        <v>412</v>
      </c>
      <c r="F14" s="5" t="s">
        <v>355</v>
      </c>
      <c r="G14" s="5" t="s">
        <v>356</v>
      </c>
      <c r="H14" s="5" t="n">
        <v>4</v>
      </c>
      <c r="I14" s="5" t="n">
        <v>32</v>
      </c>
      <c r="J14" s="5" t="s">
        <v>413</v>
      </c>
      <c r="K14" s="5" t="s">
        <v>348</v>
      </c>
      <c r="L14" s="5" t="s">
        <v>76</v>
      </c>
      <c r="M14" s="5" t="s">
        <v>54</v>
      </c>
      <c r="N14" s="5" t="s">
        <v>349</v>
      </c>
      <c r="O14" s="5" t="s">
        <v>394</v>
      </c>
      <c r="P14" s="10" t="n">
        <v>46306</v>
      </c>
      <c r="Q14" s="5" t="s">
        <v>209</v>
      </c>
      <c r="R14" s="5" t="s">
        <v>360</v>
      </c>
      <c r="S14" s="5" t="s">
        <v>395</v>
      </c>
    </row>
    <row r="15" customFormat="false" ht="15" hidden="false" customHeight="false" outlineLevel="0" collapsed="false">
      <c r="A15" s="5" t="s">
        <v>414</v>
      </c>
      <c r="B15" s="5" t="s">
        <v>415</v>
      </c>
      <c r="C15" s="5" t="s">
        <v>411</v>
      </c>
      <c r="D15" s="5" t="s">
        <v>10</v>
      </c>
      <c r="E15" s="5" t="s">
        <v>322</v>
      </c>
      <c r="F15" s="5" t="s">
        <v>372</v>
      </c>
      <c r="G15" s="5" t="s">
        <v>356</v>
      </c>
      <c r="H15" s="5" t="n">
        <v>8</v>
      </c>
      <c r="I15" s="5" t="n">
        <v>256</v>
      </c>
      <c r="J15" s="5" t="s">
        <v>416</v>
      </c>
      <c r="K15" s="5" t="s">
        <v>405</v>
      </c>
      <c r="L15" s="5" t="s">
        <v>104</v>
      </c>
      <c r="M15" s="5" t="s">
        <v>54</v>
      </c>
      <c r="N15" s="5" t="s">
        <v>368</v>
      </c>
      <c r="O15" s="5" t="s">
        <v>359</v>
      </c>
      <c r="P15" s="10" t="n">
        <v>46303</v>
      </c>
      <c r="Q15" s="5" t="s">
        <v>209</v>
      </c>
      <c r="R15" s="5" t="s">
        <v>350</v>
      </c>
      <c r="S15" s="5" t="s">
        <v>5</v>
      </c>
    </row>
    <row r="16" customFormat="false" ht="15" hidden="false" customHeight="false" outlineLevel="0" collapsed="false">
      <c r="A16" s="5" t="s">
        <v>417</v>
      </c>
      <c r="B16" s="5" t="s">
        <v>418</v>
      </c>
      <c r="C16" s="5" t="s">
        <v>419</v>
      </c>
      <c r="D16" s="5" t="s">
        <v>10</v>
      </c>
      <c r="E16" s="5" t="s">
        <v>412</v>
      </c>
      <c r="F16" s="5" t="s">
        <v>372</v>
      </c>
      <c r="G16" s="5" t="s">
        <v>12</v>
      </c>
      <c r="H16" s="5" t="n">
        <v>8</v>
      </c>
      <c r="I16" s="5" t="n">
        <v>32</v>
      </c>
      <c r="J16" s="5" t="s">
        <v>420</v>
      </c>
      <c r="K16" s="5" t="s">
        <v>348</v>
      </c>
      <c r="L16" s="5" t="s">
        <v>76</v>
      </c>
      <c r="M16" s="5" t="s">
        <v>153</v>
      </c>
      <c r="N16" s="5" t="s">
        <v>368</v>
      </c>
      <c r="O16" s="5" t="s">
        <v>359</v>
      </c>
      <c r="P16" s="10" t="n">
        <v>46204</v>
      </c>
      <c r="Q16" s="5" t="s">
        <v>57</v>
      </c>
      <c r="R16" s="5" t="s">
        <v>350</v>
      </c>
      <c r="S16" s="5" t="s">
        <v>5</v>
      </c>
    </row>
    <row r="17" customFormat="false" ht="15" hidden="false" customHeight="false" outlineLevel="0" collapsed="false">
      <c r="A17" s="5" t="s">
        <v>421</v>
      </c>
      <c r="B17" s="5" t="s">
        <v>422</v>
      </c>
      <c r="C17" s="5" t="s">
        <v>411</v>
      </c>
      <c r="D17" s="5" t="s">
        <v>10</v>
      </c>
      <c r="E17" s="5" t="s">
        <v>402</v>
      </c>
      <c r="F17" s="5" t="s">
        <v>355</v>
      </c>
      <c r="G17" s="5" t="s">
        <v>356</v>
      </c>
      <c r="H17" s="5" t="n">
        <v>64</v>
      </c>
      <c r="I17" s="5" t="n">
        <v>64</v>
      </c>
      <c r="J17" s="5" t="s">
        <v>423</v>
      </c>
      <c r="K17" s="5" t="s">
        <v>358</v>
      </c>
      <c r="L17" s="5" t="s">
        <v>76</v>
      </c>
      <c r="M17" s="5" t="s">
        <v>97</v>
      </c>
      <c r="N17" s="5" t="s">
        <v>390</v>
      </c>
      <c r="O17" s="5" t="s">
        <v>359</v>
      </c>
      <c r="P17" s="10" t="n">
        <v>46260</v>
      </c>
      <c r="Q17" s="5" t="s">
        <v>57</v>
      </c>
      <c r="R17" s="5" t="s">
        <v>369</v>
      </c>
      <c r="S17" s="5" t="s">
        <v>5</v>
      </c>
    </row>
    <row r="18" customFormat="false" ht="15" hidden="false" customHeight="false" outlineLevel="0" collapsed="false">
      <c r="A18" s="5" t="s">
        <v>424</v>
      </c>
      <c r="B18" s="5" t="s">
        <v>425</v>
      </c>
      <c r="C18" s="5" t="s">
        <v>411</v>
      </c>
      <c r="D18" s="5" t="s">
        <v>10</v>
      </c>
      <c r="E18" s="5" t="s">
        <v>412</v>
      </c>
      <c r="F18" s="5" t="s">
        <v>365</v>
      </c>
      <c r="G18" s="5" t="s">
        <v>12</v>
      </c>
      <c r="H18" s="5" t="n">
        <v>64</v>
      </c>
      <c r="I18" s="5" t="n">
        <v>256</v>
      </c>
      <c r="J18" s="5" t="s">
        <v>426</v>
      </c>
      <c r="K18" s="5" t="s">
        <v>405</v>
      </c>
      <c r="L18" s="5" t="s">
        <v>104</v>
      </c>
      <c r="M18" s="5" t="s">
        <v>117</v>
      </c>
      <c r="N18" s="5" t="s">
        <v>368</v>
      </c>
      <c r="O18" s="5" t="s">
        <v>359</v>
      </c>
      <c r="P18" s="10" t="n">
        <v>46293</v>
      </c>
      <c r="Q18" s="5" t="s">
        <v>57</v>
      </c>
      <c r="R18" s="5" t="s">
        <v>360</v>
      </c>
      <c r="S18" s="5" t="s">
        <v>5</v>
      </c>
    </row>
    <row r="19" customFormat="false" ht="15" hidden="false" customHeight="false" outlineLevel="0" collapsed="false">
      <c r="A19" s="5" t="s">
        <v>427</v>
      </c>
      <c r="B19" s="5" t="s">
        <v>428</v>
      </c>
      <c r="C19" s="5" t="s">
        <v>429</v>
      </c>
      <c r="D19" s="5" t="s">
        <v>10</v>
      </c>
      <c r="E19" s="5" t="s">
        <v>430</v>
      </c>
      <c r="F19" s="5" t="s">
        <v>372</v>
      </c>
      <c r="G19" s="5" t="s">
        <v>403</v>
      </c>
      <c r="H19" s="5" t="n">
        <v>64</v>
      </c>
      <c r="I19" s="5" t="n">
        <v>32</v>
      </c>
      <c r="J19" s="5" t="s">
        <v>431</v>
      </c>
      <c r="K19" s="5" t="s">
        <v>367</v>
      </c>
      <c r="L19" s="5" t="s">
        <v>55</v>
      </c>
      <c r="M19" s="5" t="s">
        <v>147</v>
      </c>
      <c r="N19" s="5" t="s">
        <v>390</v>
      </c>
      <c r="O19" s="5" t="s">
        <v>359</v>
      </c>
      <c r="P19" s="10" t="n">
        <v>46229</v>
      </c>
      <c r="Q19" s="5" t="s">
        <v>57</v>
      </c>
      <c r="R19" s="5" t="s">
        <v>350</v>
      </c>
      <c r="S19" s="5" t="s">
        <v>5</v>
      </c>
    </row>
    <row r="20" customFormat="false" ht="15" hidden="false" customHeight="false" outlineLevel="0" collapsed="false">
      <c r="A20" s="5" t="s">
        <v>432</v>
      </c>
      <c r="B20" s="5" t="s">
        <v>433</v>
      </c>
      <c r="C20" s="5" t="s">
        <v>401</v>
      </c>
      <c r="D20" s="5" t="s">
        <v>10</v>
      </c>
      <c r="E20" s="5" t="s">
        <v>412</v>
      </c>
      <c r="F20" s="5" t="s">
        <v>372</v>
      </c>
      <c r="G20" s="5" t="s">
        <v>403</v>
      </c>
      <c r="H20" s="5" t="n">
        <v>16</v>
      </c>
      <c r="I20" s="5" t="n">
        <v>16</v>
      </c>
      <c r="J20" s="5" t="s">
        <v>434</v>
      </c>
      <c r="K20" s="5" t="s">
        <v>348</v>
      </c>
      <c r="L20" s="5" t="s">
        <v>104</v>
      </c>
      <c r="M20" s="5" t="s">
        <v>147</v>
      </c>
      <c r="N20" s="5" t="s">
        <v>368</v>
      </c>
      <c r="O20" s="5" t="s">
        <v>374</v>
      </c>
      <c r="P20" s="10" t="n">
        <v>46292</v>
      </c>
      <c r="Q20" s="5" t="s">
        <v>57</v>
      </c>
      <c r="R20" s="5" t="s">
        <v>360</v>
      </c>
      <c r="S20" s="5" t="s">
        <v>5</v>
      </c>
    </row>
    <row r="21" customFormat="false" ht="15" hidden="false" customHeight="false" outlineLevel="0" collapsed="false">
      <c r="A21" s="5" t="s">
        <v>435</v>
      </c>
      <c r="B21" s="5" t="s">
        <v>436</v>
      </c>
      <c r="C21" s="5" t="s">
        <v>419</v>
      </c>
      <c r="D21" s="5" t="s">
        <v>10</v>
      </c>
      <c r="E21" s="5" t="s">
        <v>402</v>
      </c>
      <c r="F21" s="5" t="s">
        <v>372</v>
      </c>
      <c r="G21" s="5" t="s">
        <v>12</v>
      </c>
      <c r="H21" s="5" t="n">
        <v>64</v>
      </c>
      <c r="I21" s="5" t="n">
        <v>32</v>
      </c>
      <c r="J21" s="5" t="s">
        <v>437</v>
      </c>
      <c r="K21" s="5" t="s">
        <v>405</v>
      </c>
      <c r="L21" s="5" t="s">
        <v>55</v>
      </c>
      <c r="M21" s="5" t="s">
        <v>91</v>
      </c>
      <c r="N21" s="5" t="s">
        <v>368</v>
      </c>
      <c r="O21" s="5" t="s">
        <v>374</v>
      </c>
      <c r="P21" s="10" t="n">
        <v>46207</v>
      </c>
      <c r="Q21" s="5" t="s">
        <v>209</v>
      </c>
      <c r="R21" s="5" t="s">
        <v>360</v>
      </c>
      <c r="S21" s="5" t="s">
        <v>5</v>
      </c>
    </row>
    <row r="22" customFormat="false" ht="15" hidden="false" customHeight="false" outlineLevel="0" collapsed="false">
      <c r="A22" s="5" t="s">
        <v>438</v>
      </c>
      <c r="B22" s="5" t="s">
        <v>439</v>
      </c>
      <c r="C22" s="5" t="s">
        <v>440</v>
      </c>
      <c r="D22" s="5" t="s">
        <v>10</v>
      </c>
      <c r="E22" s="5" t="s">
        <v>322</v>
      </c>
      <c r="F22" s="5" t="s">
        <v>372</v>
      </c>
      <c r="G22" s="5" t="s">
        <v>12</v>
      </c>
      <c r="H22" s="5" t="n">
        <v>4</v>
      </c>
      <c r="I22" s="5" t="n">
        <v>16</v>
      </c>
      <c r="J22" s="5" t="s">
        <v>441</v>
      </c>
      <c r="K22" s="5" t="s">
        <v>405</v>
      </c>
      <c r="L22" s="5" t="s">
        <v>76</v>
      </c>
      <c r="M22" s="5" t="s">
        <v>54</v>
      </c>
      <c r="N22" s="5" t="s">
        <v>368</v>
      </c>
      <c r="O22" s="5" t="s">
        <v>394</v>
      </c>
      <c r="P22" s="10" t="n">
        <v>46301</v>
      </c>
      <c r="Q22" s="5" t="s">
        <v>57</v>
      </c>
      <c r="R22" s="5" t="s">
        <v>369</v>
      </c>
      <c r="S22" s="5" t="s">
        <v>5</v>
      </c>
    </row>
    <row r="23" customFormat="false" ht="15" hidden="false" customHeight="false" outlineLevel="0" collapsed="false">
      <c r="A23" s="5" t="s">
        <v>442</v>
      </c>
      <c r="B23" s="5" t="s">
        <v>443</v>
      </c>
      <c r="C23" s="5" t="s">
        <v>429</v>
      </c>
      <c r="D23" s="5" t="s">
        <v>10</v>
      </c>
      <c r="E23" s="5" t="s">
        <v>412</v>
      </c>
      <c r="F23" s="5" t="s">
        <v>355</v>
      </c>
      <c r="G23" s="5" t="s">
        <v>12</v>
      </c>
      <c r="H23" s="5" t="n">
        <v>16</v>
      </c>
      <c r="I23" s="5" t="n">
        <v>256</v>
      </c>
      <c r="J23" s="5" t="s">
        <v>444</v>
      </c>
      <c r="K23" s="5" t="s">
        <v>405</v>
      </c>
      <c r="L23" s="5" t="s">
        <v>104</v>
      </c>
      <c r="M23" s="5" t="s">
        <v>97</v>
      </c>
      <c r="N23" s="5" t="s">
        <v>368</v>
      </c>
      <c r="O23" s="5" t="s">
        <v>359</v>
      </c>
      <c r="P23" s="10" t="n">
        <v>46225</v>
      </c>
      <c r="Q23" s="5" t="s">
        <v>57</v>
      </c>
      <c r="R23" s="5" t="s">
        <v>360</v>
      </c>
      <c r="S23" s="5" t="s">
        <v>5</v>
      </c>
    </row>
    <row r="24" customFormat="false" ht="15" hidden="false" customHeight="false" outlineLevel="0" collapsed="false">
      <c r="A24" s="5" t="s">
        <v>445</v>
      </c>
      <c r="B24" s="5" t="s">
        <v>446</v>
      </c>
      <c r="C24" s="5" t="s">
        <v>447</v>
      </c>
      <c r="D24" s="5" t="s">
        <v>10</v>
      </c>
      <c r="E24" s="5" t="s">
        <v>430</v>
      </c>
      <c r="F24" s="5" t="s">
        <v>355</v>
      </c>
      <c r="G24" s="5" t="s">
        <v>356</v>
      </c>
      <c r="H24" s="5" t="n">
        <v>32</v>
      </c>
      <c r="I24" s="5" t="n">
        <v>16</v>
      </c>
      <c r="J24" s="5" t="s">
        <v>448</v>
      </c>
      <c r="K24" s="5" t="s">
        <v>405</v>
      </c>
      <c r="L24" s="5" t="s">
        <v>104</v>
      </c>
      <c r="M24" s="5" t="s">
        <v>153</v>
      </c>
      <c r="N24" s="5" t="s">
        <v>368</v>
      </c>
      <c r="O24" s="5" t="s">
        <v>14</v>
      </c>
      <c r="P24" s="10" t="n">
        <v>46226</v>
      </c>
      <c r="Q24" s="5" t="s">
        <v>209</v>
      </c>
      <c r="R24" s="5" t="s">
        <v>350</v>
      </c>
      <c r="S24" s="5" t="s">
        <v>5</v>
      </c>
    </row>
    <row r="25" customFormat="false" ht="15" hidden="false" customHeight="false" outlineLevel="0" collapsed="false">
      <c r="A25" s="5" t="s">
        <v>449</v>
      </c>
      <c r="B25" s="5" t="s">
        <v>450</v>
      </c>
      <c r="C25" s="5" t="s">
        <v>440</v>
      </c>
      <c r="D25" s="5" t="s">
        <v>10</v>
      </c>
      <c r="E25" s="5" t="s">
        <v>412</v>
      </c>
      <c r="F25" s="5" t="s">
        <v>365</v>
      </c>
      <c r="G25" s="5" t="s">
        <v>403</v>
      </c>
      <c r="H25" s="5" t="n">
        <v>4</v>
      </c>
      <c r="I25" s="5" t="n">
        <v>256</v>
      </c>
      <c r="J25" s="5" t="s">
        <v>451</v>
      </c>
      <c r="K25" s="5" t="s">
        <v>367</v>
      </c>
      <c r="L25" s="5" t="s">
        <v>85</v>
      </c>
      <c r="M25" s="5" t="s">
        <v>91</v>
      </c>
      <c r="N25" s="5" t="s">
        <v>349</v>
      </c>
      <c r="O25" s="5" t="s">
        <v>394</v>
      </c>
      <c r="P25" s="10" t="n">
        <v>46202</v>
      </c>
      <c r="Q25" s="5" t="s">
        <v>57</v>
      </c>
      <c r="R25" s="5" t="s">
        <v>369</v>
      </c>
      <c r="S25" s="5" t="s">
        <v>5</v>
      </c>
    </row>
    <row r="26" customFormat="false" ht="15" hidden="false" customHeight="false" outlineLevel="0" collapsed="false">
      <c r="A26" s="5" t="s">
        <v>452</v>
      </c>
      <c r="B26" s="5" t="s">
        <v>453</v>
      </c>
      <c r="C26" s="5" t="s">
        <v>454</v>
      </c>
      <c r="D26" s="5" t="s">
        <v>9</v>
      </c>
      <c r="E26" s="5" t="s">
        <v>455</v>
      </c>
      <c r="F26" s="5" t="s">
        <v>355</v>
      </c>
      <c r="G26" s="5" t="s">
        <v>356</v>
      </c>
      <c r="H26" s="5" t="n">
        <v>16</v>
      </c>
      <c r="I26" s="5" t="n">
        <v>64</v>
      </c>
      <c r="J26" s="5" t="s">
        <v>456</v>
      </c>
      <c r="K26" s="5" t="s">
        <v>367</v>
      </c>
      <c r="L26" s="5" t="s">
        <v>104</v>
      </c>
      <c r="M26" s="5" t="s">
        <v>252</v>
      </c>
      <c r="N26" s="5" t="s">
        <v>390</v>
      </c>
      <c r="O26" s="5" t="s">
        <v>374</v>
      </c>
      <c r="P26" s="10" t="n">
        <v>46252</v>
      </c>
      <c r="Q26" s="5" t="s">
        <v>57</v>
      </c>
      <c r="R26" s="5" t="s">
        <v>350</v>
      </c>
      <c r="S26" s="5" t="s">
        <v>5</v>
      </c>
    </row>
    <row r="27" customFormat="false" ht="15" hidden="false" customHeight="false" outlineLevel="0" collapsed="false">
      <c r="A27" s="5" t="s">
        <v>457</v>
      </c>
      <c r="B27" s="5" t="s">
        <v>458</v>
      </c>
      <c r="C27" s="5" t="s">
        <v>454</v>
      </c>
      <c r="D27" s="5" t="s">
        <v>9</v>
      </c>
      <c r="E27" s="5" t="s">
        <v>455</v>
      </c>
      <c r="F27" s="5" t="s">
        <v>355</v>
      </c>
      <c r="G27" s="5" t="s">
        <v>356</v>
      </c>
      <c r="H27" s="5" t="n">
        <v>32</v>
      </c>
      <c r="I27" s="5" t="n">
        <v>64</v>
      </c>
      <c r="J27" s="5" t="s">
        <v>459</v>
      </c>
      <c r="K27" s="5" t="s">
        <v>367</v>
      </c>
      <c r="L27" s="5" t="s">
        <v>104</v>
      </c>
      <c r="M27" s="5" t="s">
        <v>66</v>
      </c>
      <c r="N27" s="5" t="s">
        <v>386</v>
      </c>
      <c r="O27" s="5" t="s">
        <v>394</v>
      </c>
      <c r="P27" s="10" t="n">
        <v>46262</v>
      </c>
      <c r="Q27" s="5" t="s">
        <v>57</v>
      </c>
      <c r="R27" s="5" t="s">
        <v>360</v>
      </c>
      <c r="S27" s="5" t="s">
        <v>5</v>
      </c>
    </row>
  </sheetData>
  <autoFilter ref="A1:S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34"/>
  </cols>
  <sheetData>
    <row r="1" customFormat="false" ht="23.85" hidden="false" customHeight="false" outlineLevel="0" collapsed="false">
      <c r="A1" s="11" t="s">
        <v>460</v>
      </c>
      <c r="B1" s="11" t="s">
        <v>17</v>
      </c>
      <c r="C1" s="11" t="s">
        <v>461</v>
      </c>
      <c r="D1" s="11" t="s">
        <v>462</v>
      </c>
      <c r="E1" s="11" t="s">
        <v>36</v>
      </c>
      <c r="F1" s="11" t="s">
        <v>463</v>
      </c>
      <c r="G1" s="11" t="s">
        <v>19</v>
      </c>
      <c r="H1" s="11" t="s">
        <v>464</v>
      </c>
      <c r="I1" s="11" t="s">
        <v>465</v>
      </c>
    </row>
    <row r="2" customFormat="false" ht="15" hidden="false" customHeight="false" outlineLevel="0" collapsed="false">
      <c r="A2" s="5" t="s">
        <v>466</v>
      </c>
      <c r="B2" s="5" t="s">
        <v>20</v>
      </c>
      <c r="C2" s="5" t="s">
        <v>467</v>
      </c>
      <c r="D2" s="5" t="s">
        <v>468</v>
      </c>
      <c r="E2" s="5" t="s">
        <v>117</v>
      </c>
      <c r="F2" s="5" t="n">
        <v>60</v>
      </c>
      <c r="G2" s="8" t="n">
        <v>228000</v>
      </c>
      <c r="H2" s="10" t="n">
        <v>46442</v>
      </c>
      <c r="I2" s="5" t="s">
        <v>469</v>
      </c>
    </row>
    <row r="3" customFormat="false" ht="15" hidden="false" customHeight="false" outlineLevel="0" collapsed="false">
      <c r="A3" s="5" t="s">
        <v>470</v>
      </c>
      <c r="B3" s="5" t="s">
        <v>20</v>
      </c>
      <c r="C3" s="5" t="s">
        <v>471</v>
      </c>
      <c r="D3" s="5" t="s">
        <v>472</v>
      </c>
      <c r="E3" s="5" t="s">
        <v>252</v>
      </c>
      <c r="F3" s="5" t="n">
        <v>70</v>
      </c>
      <c r="G3" s="8" t="n">
        <v>168000</v>
      </c>
      <c r="H3" s="10" t="n">
        <v>46507</v>
      </c>
      <c r="I3" s="5" t="s">
        <v>469</v>
      </c>
    </row>
    <row r="4" customFormat="false" ht="15" hidden="false" customHeight="false" outlineLevel="0" collapsed="false">
      <c r="A4" s="5" t="s">
        <v>473</v>
      </c>
      <c r="B4" s="5" t="s">
        <v>20</v>
      </c>
      <c r="C4" s="5" t="s">
        <v>474</v>
      </c>
      <c r="D4" s="5" t="s">
        <v>223</v>
      </c>
      <c r="E4" s="5" t="s">
        <v>97</v>
      </c>
      <c r="F4" s="5" t="n">
        <v>20</v>
      </c>
      <c r="G4" s="8" t="n">
        <v>30000</v>
      </c>
      <c r="H4" s="10" t="n">
        <v>46516</v>
      </c>
      <c r="I4" s="5" t="s">
        <v>469</v>
      </c>
    </row>
    <row r="5" customFormat="false" ht="15" hidden="false" customHeight="false" outlineLevel="0" collapsed="false">
      <c r="A5" s="5" t="s">
        <v>475</v>
      </c>
      <c r="B5" s="5" t="s">
        <v>20</v>
      </c>
      <c r="C5" s="5" t="s">
        <v>476</v>
      </c>
      <c r="D5" s="5" t="s">
        <v>477</v>
      </c>
      <c r="E5" s="5" t="s">
        <v>252</v>
      </c>
      <c r="F5" s="5" t="n">
        <v>60</v>
      </c>
      <c r="G5" s="8" t="n">
        <v>114000</v>
      </c>
      <c r="H5" s="10" t="n">
        <v>46470</v>
      </c>
      <c r="I5" s="5" t="s">
        <v>469</v>
      </c>
    </row>
    <row r="6" customFormat="false" ht="15" hidden="false" customHeight="false" outlineLevel="0" collapsed="false">
      <c r="A6" s="5" t="s">
        <v>478</v>
      </c>
      <c r="B6" s="5" t="s">
        <v>20</v>
      </c>
      <c r="C6" s="5" t="s">
        <v>479</v>
      </c>
      <c r="D6" s="5" t="s">
        <v>480</v>
      </c>
      <c r="E6" s="5" t="s">
        <v>75</v>
      </c>
      <c r="F6" s="5" t="n">
        <v>40</v>
      </c>
      <c r="G6" s="8" t="n">
        <v>44000</v>
      </c>
      <c r="H6" s="10" t="n">
        <v>46443</v>
      </c>
      <c r="I6" s="5" t="s">
        <v>469</v>
      </c>
    </row>
    <row r="7" customFormat="false" ht="15" hidden="false" customHeight="false" outlineLevel="0" collapsed="false">
      <c r="A7" s="5" t="s">
        <v>481</v>
      </c>
      <c r="B7" s="5" t="s">
        <v>20</v>
      </c>
      <c r="C7" s="5" t="s">
        <v>482</v>
      </c>
      <c r="D7" s="5" t="s">
        <v>483</v>
      </c>
      <c r="E7" s="5" t="s">
        <v>147</v>
      </c>
      <c r="F7" s="5" t="n">
        <v>35</v>
      </c>
      <c r="G7" s="8" t="n">
        <v>73500</v>
      </c>
      <c r="H7" s="10" t="n">
        <v>46615</v>
      </c>
      <c r="I7" s="5" t="s">
        <v>469</v>
      </c>
    </row>
    <row r="8" customFormat="false" ht="15" hidden="false" customHeight="false" outlineLevel="0" collapsed="false">
      <c r="A8" s="5" t="s">
        <v>484</v>
      </c>
      <c r="B8" s="5" t="s">
        <v>20</v>
      </c>
      <c r="C8" s="5" t="s">
        <v>485</v>
      </c>
      <c r="D8" s="5" t="s">
        <v>486</v>
      </c>
      <c r="E8" s="5" t="s">
        <v>75</v>
      </c>
      <c r="F8" s="5" t="n">
        <v>60</v>
      </c>
      <c r="G8" s="8" t="n">
        <v>84000</v>
      </c>
      <c r="H8" s="10" t="n">
        <v>46642</v>
      </c>
      <c r="I8" s="5" t="s">
        <v>469</v>
      </c>
    </row>
    <row r="9" customFormat="false" ht="15" hidden="false" customHeight="false" outlineLevel="0" collapsed="false">
      <c r="A9" s="5" t="s">
        <v>487</v>
      </c>
      <c r="B9" s="5" t="s">
        <v>20</v>
      </c>
      <c r="C9" s="5" t="s">
        <v>488</v>
      </c>
      <c r="D9" s="5" t="s">
        <v>489</v>
      </c>
      <c r="E9" s="5" t="s">
        <v>97</v>
      </c>
      <c r="F9" s="5" t="n">
        <v>60</v>
      </c>
      <c r="G9" s="8" t="n">
        <v>108000</v>
      </c>
      <c r="H9" s="10" t="n">
        <v>46341</v>
      </c>
      <c r="I9" s="5" t="s">
        <v>469</v>
      </c>
    </row>
    <row r="10" customFormat="false" ht="15" hidden="false" customHeight="false" outlineLevel="0" collapsed="false">
      <c r="A10" s="5" t="s">
        <v>490</v>
      </c>
      <c r="B10" s="5" t="s">
        <v>21</v>
      </c>
      <c r="C10" s="5" t="s">
        <v>491</v>
      </c>
      <c r="D10" s="5" t="s">
        <v>492</v>
      </c>
      <c r="E10" s="5" t="s">
        <v>66</v>
      </c>
      <c r="F10" s="5" t="n">
        <v>2</v>
      </c>
      <c r="G10" s="8" t="n">
        <v>45000</v>
      </c>
      <c r="H10" s="10" t="n">
        <v>46397</v>
      </c>
      <c r="I10" s="5" t="s">
        <v>493</v>
      </c>
    </row>
    <row r="11" customFormat="false" ht="15" hidden="false" customHeight="false" outlineLevel="0" collapsed="false">
      <c r="A11" s="5" t="s">
        <v>494</v>
      </c>
      <c r="B11" s="5" t="s">
        <v>21</v>
      </c>
      <c r="C11" s="5" t="s">
        <v>495</v>
      </c>
      <c r="D11" s="5" t="s">
        <v>496</v>
      </c>
      <c r="E11" s="5" t="s">
        <v>66</v>
      </c>
      <c r="F11" s="5" t="n">
        <v>6</v>
      </c>
      <c r="G11" s="8" t="n">
        <v>95000</v>
      </c>
      <c r="H11" s="10" t="n">
        <v>46647</v>
      </c>
      <c r="I11" s="5" t="s">
        <v>493</v>
      </c>
    </row>
    <row r="12" customFormat="false" ht="15" hidden="false" customHeight="false" outlineLevel="0" collapsed="false">
      <c r="A12" s="5" t="s">
        <v>497</v>
      </c>
      <c r="B12" s="5" t="s">
        <v>21</v>
      </c>
      <c r="C12" s="5" t="s">
        <v>498</v>
      </c>
      <c r="D12" s="5" t="s">
        <v>499</v>
      </c>
      <c r="E12" s="5" t="s">
        <v>66</v>
      </c>
      <c r="F12" s="5" t="n">
        <v>18</v>
      </c>
      <c r="G12" s="8" t="n">
        <v>45000</v>
      </c>
      <c r="H12" s="10" t="n">
        <v>46715</v>
      </c>
      <c r="I12" s="5" t="s">
        <v>493</v>
      </c>
    </row>
    <row r="13" customFormat="false" ht="15" hidden="false" customHeight="false" outlineLevel="0" collapsed="false">
      <c r="A13" s="5" t="s">
        <v>500</v>
      </c>
      <c r="B13" s="5" t="s">
        <v>21</v>
      </c>
      <c r="C13" s="5" t="s">
        <v>501</v>
      </c>
      <c r="D13" s="5" t="s">
        <v>502</v>
      </c>
      <c r="E13" s="5" t="s">
        <v>66</v>
      </c>
      <c r="F13" s="5" t="n">
        <v>2</v>
      </c>
      <c r="G13" s="8" t="n">
        <v>45000</v>
      </c>
      <c r="H13" s="10" t="n">
        <v>46374</v>
      </c>
      <c r="I13" s="5" t="s">
        <v>493</v>
      </c>
    </row>
    <row r="14" customFormat="false" ht="15" hidden="false" customHeight="false" outlineLevel="0" collapsed="false">
      <c r="A14" s="5" t="s">
        <v>503</v>
      </c>
      <c r="B14" s="5" t="s">
        <v>22</v>
      </c>
      <c r="C14" s="5" t="s">
        <v>504</v>
      </c>
      <c r="D14" s="5" t="s">
        <v>505</v>
      </c>
      <c r="E14" s="5" t="s">
        <v>153</v>
      </c>
      <c r="F14" s="5" t="n">
        <v>1</v>
      </c>
      <c r="G14" s="8" t="n">
        <v>120000</v>
      </c>
      <c r="H14" s="5" t="s">
        <v>506</v>
      </c>
      <c r="I14" s="5" t="s">
        <v>507</v>
      </c>
    </row>
    <row r="15" customFormat="false" ht="15" hidden="false" customHeight="false" outlineLevel="0" collapsed="false">
      <c r="A15" s="5" t="s">
        <v>508</v>
      </c>
      <c r="B15" s="5" t="s">
        <v>22</v>
      </c>
      <c r="C15" s="5" t="s">
        <v>509</v>
      </c>
      <c r="D15" s="5" t="s">
        <v>505</v>
      </c>
      <c r="E15" s="5" t="s">
        <v>75</v>
      </c>
      <c r="F15" s="5" t="n">
        <v>1</v>
      </c>
      <c r="G15" s="8" t="n">
        <v>90000</v>
      </c>
      <c r="H15" s="5" t="s">
        <v>506</v>
      </c>
      <c r="I15" s="5" t="s">
        <v>507</v>
      </c>
    </row>
    <row r="16" customFormat="false" ht="15" hidden="false" customHeight="false" outlineLevel="0" collapsed="false">
      <c r="A16" s="5" t="s">
        <v>510</v>
      </c>
      <c r="B16" s="5" t="s">
        <v>22</v>
      </c>
      <c r="C16" s="5" t="s">
        <v>511</v>
      </c>
      <c r="D16" s="5" t="s">
        <v>468</v>
      </c>
      <c r="E16" s="5" t="s">
        <v>252</v>
      </c>
      <c r="F16" s="5" t="n">
        <v>1</v>
      </c>
      <c r="G16" s="8" t="n">
        <v>120000</v>
      </c>
      <c r="H16" s="5" t="s">
        <v>506</v>
      </c>
      <c r="I16" s="5" t="s">
        <v>507</v>
      </c>
    </row>
    <row r="17" customFormat="false" ht="15" hidden="false" customHeight="false" outlineLevel="0" collapsed="false">
      <c r="A17" s="5" t="s">
        <v>512</v>
      </c>
      <c r="B17" s="5" t="s">
        <v>22</v>
      </c>
      <c r="C17" s="5" t="s">
        <v>513</v>
      </c>
      <c r="D17" s="5" t="s">
        <v>514</v>
      </c>
      <c r="E17" s="5" t="s">
        <v>54</v>
      </c>
      <c r="F17" s="5" t="n">
        <v>1</v>
      </c>
      <c r="G17" s="8" t="n">
        <v>450000</v>
      </c>
      <c r="H17" s="5" t="s">
        <v>506</v>
      </c>
      <c r="I17" s="5" t="s">
        <v>507</v>
      </c>
    </row>
    <row r="18" customFormat="false" ht="15" hidden="false" customHeight="false" outlineLevel="0" collapsed="false">
      <c r="A18" s="5" t="s">
        <v>515</v>
      </c>
      <c r="B18" s="5" t="s">
        <v>23</v>
      </c>
      <c r="C18" s="5" t="s">
        <v>516</v>
      </c>
      <c r="D18" s="5" t="s">
        <v>517</v>
      </c>
      <c r="E18" s="5" t="s">
        <v>104</v>
      </c>
      <c r="F18" s="5" t="n">
        <v>12</v>
      </c>
      <c r="G18" s="8" t="n">
        <v>70000</v>
      </c>
      <c r="H18" s="5" t="s">
        <v>518</v>
      </c>
      <c r="I18" s="5" t="s">
        <v>519</v>
      </c>
    </row>
    <row r="19" customFormat="false" ht="15" hidden="false" customHeight="false" outlineLevel="0" collapsed="false">
      <c r="A19" s="5" t="s">
        <v>520</v>
      </c>
      <c r="B19" s="5" t="s">
        <v>23</v>
      </c>
      <c r="C19" s="5" t="s">
        <v>521</v>
      </c>
      <c r="D19" s="5" t="s">
        <v>522</v>
      </c>
      <c r="E19" s="5" t="s">
        <v>104</v>
      </c>
      <c r="F19" s="5" t="n">
        <v>6</v>
      </c>
      <c r="G19" s="8" t="n">
        <v>65000</v>
      </c>
      <c r="H19" s="5" t="s">
        <v>518</v>
      </c>
      <c r="I19" s="5" t="s">
        <v>519</v>
      </c>
    </row>
    <row r="20" customFormat="false" ht="15" hidden="false" customHeight="false" outlineLevel="0" collapsed="false">
      <c r="A20" s="5" t="s">
        <v>523</v>
      </c>
      <c r="B20" s="5" t="s">
        <v>24</v>
      </c>
      <c r="C20" s="5" t="s">
        <v>524</v>
      </c>
      <c r="D20" s="5" t="s">
        <v>525</v>
      </c>
      <c r="E20" s="5" t="s">
        <v>76</v>
      </c>
      <c r="F20" s="5" t="n">
        <v>1</v>
      </c>
      <c r="G20" s="8" t="n">
        <v>35000</v>
      </c>
      <c r="H20" s="10" t="n">
        <v>46383</v>
      </c>
      <c r="I20" s="5" t="s">
        <v>526</v>
      </c>
    </row>
    <row r="21" customFormat="false" ht="15" hidden="false" customHeight="false" outlineLevel="0" collapsed="false">
      <c r="A21" s="5" t="s">
        <v>527</v>
      </c>
      <c r="B21" s="5" t="s">
        <v>24</v>
      </c>
      <c r="C21" s="5" t="s">
        <v>528</v>
      </c>
      <c r="D21" s="5" t="s">
        <v>529</v>
      </c>
      <c r="E21" s="5" t="s">
        <v>104</v>
      </c>
      <c r="F21" s="5" t="n">
        <v>1</v>
      </c>
      <c r="G21" s="8" t="n">
        <v>2500</v>
      </c>
      <c r="H21" s="10" t="n">
        <v>46518</v>
      </c>
      <c r="I21" s="5"/>
    </row>
  </sheetData>
  <autoFilter ref="A1:I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2026-10-13T04:56:03Z</dcterms:created>
  <dc:creator>openpyxl</dc:creator>
  <dc:description/>
  <dc:language>en-US</dc:language>
  <cp:lastModifiedBy/>
  <dcterms:modified xsi:type="dcterms:W3CDTF">2026-10-13T04:56:03Z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